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ussex-my.sharepoint.com/personal/sf457_sussex_ac_uk/Documents/Fourth year/Trust Management Blockchain-Based to Secure Vehicular Computation Offloading paper/Tables/1,3,6/"/>
    </mc:Choice>
  </mc:AlternateContent>
  <xr:revisionPtr revIDLastSave="142" documentId="8_{3E7F901D-D1EC-4122-8946-D1271C065C4F}" xr6:coauthVersionLast="47" xr6:coauthVersionMax="47" xr10:uidLastSave="{C8A1ACFB-08A5-4327-B1DF-679601FDCBF6}"/>
  <bookViews>
    <workbookView xWindow="-110" yWindow="-110" windowWidth="19420" windowHeight="11620" xr2:uid="{FA7D6008-6331-4A94-A01C-B448421AC09A}"/>
  </bookViews>
  <sheets>
    <sheet name="Append2" sheetId="9" r:id="rId1"/>
    <sheet name="Sheet1" sheetId="10" r:id="rId2"/>
    <sheet name="allResults_S7_2_random selectio" sheetId="8" r:id="rId3"/>
    <sheet name="allResults_S6_2_random selectio" sheetId="7" r:id="rId4"/>
    <sheet name="allResults_S5_2_random assign" sheetId="6" r:id="rId5"/>
    <sheet name="allResults_S4_2" sheetId="5" r:id="rId6"/>
    <sheet name="allResults_S3_2" sheetId="4" r:id="rId7"/>
    <sheet name="allResults_S2_2" sheetId="3" r:id="rId8"/>
    <sheet name="allResults_S1_2 (2)" sheetId="2" r:id="rId9"/>
    <sheet name="allResults_S1_2" sheetId="1" r:id="rId10"/>
  </sheets>
  <definedNames>
    <definedName name="ExternalData_1" localSheetId="8" hidden="1">'allResults_S1_2 (2)'!$A$1:$K$6</definedName>
    <definedName name="ExternalData_2" localSheetId="7" hidden="1">allResults_S2_2!$A$1:$K$6</definedName>
    <definedName name="ExternalData_3" localSheetId="6" hidden="1">allResults_S3_2!$A$1:$K$6</definedName>
    <definedName name="ExternalData_4" localSheetId="5" hidden="1">allResults_S4_2!$A$1:$K$6</definedName>
    <definedName name="ExternalData_5" localSheetId="4" hidden="1">'allResults_S5_2_random assign'!$A$1:$K$6</definedName>
    <definedName name="ExternalData_6" localSheetId="3" hidden="1">'allResults_S6_2_random selectio'!$A$1:$K$6</definedName>
    <definedName name="ExternalData_7" localSheetId="2" hidden="1">'allResults_S7_2_random selectio'!$A$1:$K$6</definedName>
    <definedName name="ExternalData_8" localSheetId="0" hidden="1">Append2!$B$1:$R$36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9" l="1"/>
  <c r="C40" i="9"/>
  <c r="C37" i="9"/>
  <c r="L38" i="9"/>
  <c r="J38" i="9"/>
  <c r="J39" i="9"/>
  <c r="J2" i="9"/>
  <c r="J3" i="9"/>
  <c r="J4" i="9"/>
  <c r="J5" i="9"/>
  <c r="J6" i="9"/>
  <c r="J7" i="9"/>
  <c r="K7" i="9" s="1"/>
  <c r="J8" i="9"/>
  <c r="E8" i="10" s="1"/>
  <c r="J9" i="9"/>
  <c r="E9" i="10" s="1"/>
  <c r="J10" i="9"/>
  <c r="K10" i="9" s="1"/>
  <c r="J11" i="9"/>
  <c r="K11" i="9" s="1"/>
  <c r="J12" i="9"/>
  <c r="E12" i="10" s="1"/>
  <c r="J13" i="9"/>
  <c r="K13" i="9" s="1"/>
  <c r="J14" i="9"/>
  <c r="K14" i="9" s="1"/>
  <c r="J15" i="9"/>
  <c r="K15" i="9" s="1"/>
  <c r="J16" i="9"/>
  <c r="K16" i="9" s="1"/>
  <c r="J17" i="9"/>
  <c r="E17" i="10" s="1"/>
  <c r="J18" i="9"/>
  <c r="E18" i="10" s="1"/>
  <c r="J19" i="9"/>
  <c r="J20" i="9"/>
  <c r="J21" i="9"/>
  <c r="E21" i="10" s="1"/>
  <c r="J22" i="9"/>
  <c r="J23" i="9"/>
  <c r="J24" i="9"/>
  <c r="E24" i="10" s="1"/>
  <c r="J25" i="9"/>
  <c r="J26" i="9"/>
  <c r="E26" i="10" s="1"/>
  <c r="J27" i="9"/>
  <c r="J28" i="9"/>
  <c r="K28" i="9" s="1"/>
  <c r="J29" i="9"/>
  <c r="K29" i="9" s="1"/>
  <c r="J30" i="9"/>
  <c r="K30" i="9" s="1"/>
  <c r="J31" i="9"/>
  <c r="K31" i="9" s="1"/>
  <c r="J32" i="9"/>
  <c r="K32" i="9" s="1"/>
  <c r="J33" i="9"/>
  <c r="J34" i="9"/>
  <c r="J35" i="9"/>
  <c r="K35" i="9" s="1"/>
  <c r="J36" i="9"/>
  <c r="C38" i="9"/>
  <c r="M37" i="9"/>
  <c r="P38" i="9"/>
  <c r="H39" i="9"/>
  <c r="H38" i="9"/>
  <c r="I41" i="9"/>
  <c r="I40" i="9"/>
  <c r="I39" i="9"/>
  <c r="I38" i="9"/>
  <c r="Q37" i="9"/>
  <c r="R37" i="9"/>
  <c r="E16" i="9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O37" i="9"/>
  <c r="N37" i="9"/>
  <c r="L37" i="9"/>
  <c r="G38" i="9"/>
  <c r="G37" i="9"/>
  <c r="F38" i="9"/>
  <c r="F37" i="9"/>
  <c r="Q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K33" i="9"/>
  <c r="K25" i="9"/>
  <c r="E25" i="10"/>
  <c r="K4" i="9"/>
  <c r="E4" i="10"/>
  <c r="E3" i="10"/>
  <c r="K3" i="9"/>
  <c r="K5" i="9"/>
  <c r="E5" i="10"/>
  <c r="K21" i="9"/>
  <c r="E20" i="10"/>
  <c r="K20" i="9"/>
  <c r="K6" i="9"/>
  <c r="E6" i="10"/>
  <c r="K22" i="9"/>
  <c r="E22" i="10"/>
  <c r="K27" i="9"/>
  <c r="E19" i="10"/>
  <c r="K19" i="9"/>
  <c r="K36" i="9"/>
  <c r="K17" i="9"/>
  <c r="E7" i="10"/>
  <c r="K23" i="9"/>
  <c r="E23" i="10"/>
  <c r="K34" i="9"/>
  <c r="E14" i="10" l="1"/>
  <c r="E16" i="10"/>
  <c r="K24" i="9"/>
  <c r="E10" i="10"/>
  <c r="K12" i="9"/>
  <c r="E15" i="10"/>
  <c r="K8" i="9"/>
  <c r="K38" i="9" s="1"/>
  <c r="K18" i="9"/>
  <c r="K9" i="9"/>
  <c r="K26" i="9"/>
  <c r="E11" i="10"/>
  <c r="E13" i="10"/>
  <c r="K39" i="9"/>
  <c r="K2" i="9"/>
  <c r="J37" i="9"/>
  <c r="E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E2F73-412C-46E6-A384-923F3469B559}" keepAlive="1" name="Query - allResults_S1_2" description="Connection to the 'allResults_S1_2' query in the workbook." type="5" refreshedVersion="8" background="1" saveData="1">
    <dbPr connection="Provider=Microsoft.Mashup.OleDb.1;Data Source=$Workbook$;Location=allResults_S1_2;Extended Properties=&quot;&quot;" command="SELECT * FROM [allResults_S1_2]"/>
  </connection>
  <connection id="2" xr16:uid="{FB9C2F2D-955D-49DF-B178-C41664FE5484}" keepAlive="1" name="Query - allResults_S2_2" description="Connection to the 'allResults_S2_2' query in the workbook." type="5" refreshedVersion="8" background="1" saveData="1">
    <dbPr connection="Provider=Microsoft.Mashup.OleDb.1;Data Source=$Workbook$;Location=allResults_S2_2;Extended Properties=&quot;&quot;" command="SELECT * FROM [allResults_S2_2]"/>
  </connection>
  <connection id="3" xr16:uid="{C8569A3A-8A81-46A1-802B-A7EDBCE84D8E}" keepAlive="1" name="Query - allResults_S3_2" description="Connection to the 'allResults_S3_2' query in the workbook." type="5" refreshedVersion="8" background="1" saveData="1">
    <dbPr connection="Provider=Microsoft.Mashup.OleDb.1;Data Source=$Workbook$;Location=allResults_S3_2;Extended Properties=&quot;&quot;" command="SELECT * FROM [allResults_S3_2]"/>
  </connection>
  <connection id="4" xr16:uid="{F3D83A6B-AB6D-4294-B5F1-22012BEA060E}" keepAlive="1" name="Query - allResults_S4_2" description="Connection to the 'allResults_S4_2' query in the workbook." type="5" refreshedVersion="8" background="1" saveData="1">
    <dbPr connection="Provider=Microsoft.Mashup.OleDb.1;Data Source=$Workbook$;Location=allResults_S4_2;Extended Properties=&quot;&quot;" command="SELECT * FROM [allResults_S4_2]"/>
  </connection>
  <connection id="5" xr16:uid="{64640920-4FEA-48D0-8F7E-00C4BB4DEED3}" keepAlive="1" name="Query - allResults_S5_2_random assign" description="Connection to the 'allResults_S5_2_random assign' query in the workbook." type="5" refreshedVersion="8" background="1" saveData="1">
    <dbPr connection="Provider=Microsoft.Mashup.OleDb.1;Data Source=$Workbook$;Location=&quot;allResults_S5_2_random assign&quot;;Extended Properties=&quot;&quot;" command="SELECT * FROM [allResults_S5_2_random assign]"/>
  </connection>
  <connection id="6" xr16:uid="{B0F3458B-8018-4521-8392-6B8CFDBD0902}" keepAlive="1" name="Query - allResults_S6_2_random selection" description="Connection to the 'allResults_S6_2_random selection' query in the workbook." type="5" refreshedVersion="8" background="1" saveData="1">
    <dbPr connection="Provider=Microsoft.Mashup.OleDb.1;Data Source=$Workbook$;Location=&quot;allResults_S6_2_random selection&quot;;Extended Properties=&quot;&quot;" command="SELECT * FROM [allResults_S6_2_random selection]"/>
  </connection>
  <connection id="7" xr16:uid="{5A005DC5-305F-4293-B707-E35BA0916C5E}" keepAlive="1" name="Query - allResults_S7_2_random selection" description="Connection to the 'allResults_S7_2_random selection' query in the workbook." type="5" refreshedVersion="8" background="1" saveData="1">
    <dbPr connection="Provider=Microsoft.Mashup.OleDb.1;Data Source=$Workbook$;Location=&quot;allResults_S7_2_random selection&quot;;Extended Properties=&quot;&quot;" command="SELECT * FROM [allResults_S7_2_random selection]"/>
  </connection>
  <connection id="8" xr16:uid="{0694F23E-ECF5-41EE-AE39-DE1A2E73D26C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</connections>
</file>

<file path=xl/sharedStrings.xml><?xml version="1.0" encoding="utf-8"?>
<sst xmlns="http://schemas.openxmlformats.org/spreadsheetml/2006/main" count="134" uniqueCount="39">
  <si>
    <t>MaliciousPercentage</t>
  </si>
  <si>
    <t>DynamicAvgSuccessRate</t>
  </si>
  <si>
    <t>DynamicAvgInitialReputation</t>
  </si>
  <si>
    <t>DynamiAvgUpdateReputation</t>
  </si>
  <si>
    <t>DynamicAvgisMalicious</t>
  </si>
  <si>
    <t>DynamicAvgLatency</t>
  </si>
  <si>
    <t>FixedAvgSuccessRate</t>
  </si>
  <si>
    <t>FixedAvgInitialReputation</t>
  </si>
  <si>
    <t>FixedAvgUpdateReputation</t>
  </si>
  <si>
    <t>FixedAvgisMalicious</t>
  </si>
  <si>
    <t>FixedAvgLatency</t>
  </si>
  <si>
    <t>allResults_1_2</t>
  </si>
  <si>
    <t>allResults_2_2</t>
  </si>
  <si>
    <t>allResults_3_2</t>
  </si>
  <si>
    <t>allResults_4_2</t>
  </si>
  <si>
    <t>allResults_6_2_random selection</t>
  </si>
  <si>
    <t>allResults_7_2_random selection</t>
  </si>
  <si>
    <t>allResults_5_2_random assign</t>
  </si>
  <si>
    <t>Scenario#</t>
  </si>
  <si>
    <t>Success Rate (excluding non-malicious failures)</t>
  </si>
  <si>
    <t>DynamicAvgSuccessRate%</t>
  </si>
  <si>
    <t>DynamicAvgisMalicious%</t>
  </si>
  <si>
    <t>FixedMAR</t>
  </si>
  <si>
    <t>DynamicMAR%</t>
  </si>
  <si>
    <t>DynamicMAR</t>
  </si>
  <si>
    <t>Avreg exlude S6 and S7</t>
  </si>
  <si>
    <t>Scenario 1</t>
  </si>
  <si>
    <t>Scenario 2</t>
  </si>
  <si>
    <t>Scenario 3</t>
  </si>
  <si>
    <t>Scenario 4</t>
  </si>
  <si>
    <t>Scenario 5</t>
  </si>
  <si>
    <t xml:space="preserve">key Insights </t>
  </si>
  <si>
    <t xml:space="preserve"> highlighted the robustness of dynamic configurations, as the trust mechanism effectively minimized interactions with low-ST malicious providers.</t>
  </si>
  <si>
    <t>Challenges due to intermediate-ST dominance and malicious assignment mechanisms.</t>
  </si>
  <si>
    <t>Random  distribution tested adaptability.</t>
  </si>
  <si>
    <t>Balanced distribution enhanced malicious avoidance.</t>
  </si>
  <si>
    <t>Uniform distribution improved resilience.</t>
  </si>
  <si>
    <t>Avreg of S6 and S7</t>
  </si>
  <si>
    <t>Scenario#+A1:H6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</si>
</sst>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CC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3" borderId="14" xfId="0" applyFill="1" applyBorder="1"/>
    <xf numFmtId="0" fontId="0" fillId="33" borderId="10" xfId="0" applyFill="1" applyBorder="1"/>
    <xf numFmtId="0" fontId="0" fillId="33" borderId="15" xfId="0" applyFill="1" applyBorder="1"/>
    <xf numFmtId="0" fontId="0" fillId="34" borderId="14" xfId="0" applyFill="1" applyBorder="1"/>
    <xf numFmtId="0" fontId="0" fillId="34" borderId="10" xfId="0" applyFill="1" applyBorder="1"/>
    <xf numFmtId="0" fontId="0" fillId="34" borderId="15" xfId="0" applyFill="1" applyBorder="1"/>
    <xf numFmtId="0" fontId="0" fillId="34" borderId="0" xfId="0" applyFill="1"/>
    <xf numFmtId="0" fontId="0" fillId="35" borderId="14" xfId="0" applyFill="1" applyBorder="1"/>
    <xf numFmtId="0" fontId="0" fillId="35" borderId="10" xfId="0" applyFill="1" applyBorder="1"/>
    <xf numFmtId="0" fontId="0" fillId="35" borderId="15" xfId="0" applyFill="1" applyBorder="1"/>
    <xf numFmtId="0" fontId="0" fillId="35" borderId="0" xfId="0" applyFill="1"/>
    <xf numFmtId="0" fontId="0" fillId="36" borderId="14" xfId="0" applyFill="1" applyBorder="1"/>
    <xf numFmtId="0" fontId="0" fillId="36" borderId="10" xfId="0" applyFill="1" applyBorder="1"/>
    <xf numFmtId="0" fontId="0" fillId="36" borderId="15" xfId="0" applyFill="1" applyBorder="1"/>
    <xf numFmtId="0" fontId="0" fillId="36" borderId="0" xfId="0" applyFill="1"/>
    <xf numFmtId="0" fontId="0" fillId="37" borderId="14" xfId="0" applyFill="1" applyBorder="1"/>
    <xf numFmtId="0" fontId="0" fillId="37" borderId="10" xfId="0" applyFill="1" applyBorder="1"/>
    <xf numFmtId="0" fontId="0" fillId="37" borderId="15" xfId="0" applyFill="1" applyBorder="1"/>
    <xf numFmtId="0" fontId="0" fillId="37" borderId="0" xfId="0" applyFill="1"/>
    <xf numFmtId="0" fontId="0" fillId="38" borderId="14" xfId="0" applyFill="1" applyBorder="1"/>
    <xf numFmtId="0" fontId="0" fillId="38" borderId="10" xfId="0" applyFill="1" applyBorder="1"/>
    <xf numFmtId="0" fontId="0" fillId="38" borderId="15" xfId="0" applyFill="1" applyBorder="1"/>
    <xf numFmtId="0" fontId="0" fillId="38" borderId="0" xfId="0" applyFill="1"/>
    <xf numFmtId="0" fontId="0" fillId="39" borderId="14" xfId="0" applyFill="1" applyBorder="1"/>
    <xf numFmtId="0" fontId="0" fillId="39" borderId="10" xfId="0" applyFill="1" applyBorder="1"/>
    <xf numFmtId="0" fontId="0" fillId="39" borderId="15" xfId="0" applyFill="1" applyBorder="1"/>
    <xf numFmtId="0" fontId="0" fillId="39" borderId="0" xfId="0" applyFill="1"/>
    <xf numFmtId="0" fontId="0" fillId="39" borderId="16" xfId="0" applyFill="1" applyBorder="1"/>
    <xf numFmtId="0" fontId="0" fillId="39" borderId="17" xfId="0" applyFill="1" applyBorder="1"/>
    <xf numFmtId="0" fontId="0" fillId="39" borderId="18" xfId="0" applyFill="1" applyBorder="1"/>
    <xf numFmtId="0" fontId="0" fillId="33" borderId="0" xfId="0" applyFill="1"/>
    <xf numFmtId="0" fontId="0" fillId="0" borderId="0" xfId="0" applyAlignment="1">
      <alignment vertical="center"/>
    </xf>
    <xf numFmtId="0" fontId="0" fillId="0" borderId="18" xfId="0" applyBorder="1"/>
    <xf numFmtId="0" fontId="0" fillId="0" borderId="16" xfId="0" applyBorder="1"/>
    <xf numFmtId="0" fontId="0" fillId="0" borderId="10" xfId="0" applyBorder="1"/>
    <xf numFmtId="0" fontId="0" fillId="0" borderId="17" xfId="0" applyBorder="1"/>
    <xf numFmtId="0" fontId="0" fillId="0" borderId="20" xfId="0" applyBorder="1"/>
    <xf numFmtId="0" fontId="0" fillId="39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rgb="FF99CCFF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rgb="FF99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rgb="FF99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rgb="FF99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rgb="FF99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99CC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rgb="FF99CC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BE4D9"/>
      <color rgb="FF99CCFF"/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E2C7B837-7DB3-46A9-AF96-A60137412E0A}" autoFormatId="16" applyNumberFormats="0" applyBorderFormats="0" applyFontFormats="0" applyPatternFormats="0" applyAlignmentFormats="0" applyWidthHeightFormats="0">
  <queryTableRefresh nextId="18">
    <queryTableFields count="17">
      <queryTableField id="1" name="MaliciousPercentage" tableColumnId="1"/>
      <queryTableField id="2" name="DynamicAvgSuccessRate" tableColumnId="2"/>
      <queryTableField id="13" dataBound="0" tableColumnId="13"/>
      <queryTableField id="12" dataBound="0" tableColumnId="12"/>
      <queryTableField id="3" name="DynamicAvgInitialReputation" tableColumnId="3"/>
      <queryTableField id="4" name="DynamiAvgUpdateReputation" tableColumnId="4"/>
      <queryTableField id="5" name="DynamicAvgisMalicious" tableColumnId="5"/>
      <queryTableField id="14" dataBound="0" tableColumnId="14"/>
      <queryTableField id="15" dataBound="0" tableColumnId="15"/>
      <queryTableField id="16" dataBound="0" tableColumnId="16"/>
      <queryTableField id="6" name="DynamicAvgLatency" tableColumnId="6"/>
      <queryTableField id="7" name="FixedAvgSuccessRate" tableColumnId="7"/>
      <queryTableField id="8" name="FixedAvgInitialReputation" tableColumnId="8"/>
      <queryTableField id="9" name="FixedAvgUpdateReputation" tableColumnId="9"/>
      <queryTableField id="10" name="FixedAvgisMalicious" tableColumnId="10"/>
      <queryTableField id="17" dataBound="0" tableColumnId="17"/>
      <queryTableField id="11" name="FixedAvgLatenc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99358526-D5DD-438C-AADC-F4C8E2F59F51}" autoFormatId="16" applyNumberFormats="0" applyBorderFormats="0" applyFontFormats="0" applyPatternFormats="0" applyAlignmentFormats="0" applyWidthHeightFormats="0">
  <queryTableRefresh nextId="12">
    <queryTableFields count="11">
      <queryTableField id="1" name="MaliciousPercentage" tableColumnId="1"/>
      <queryTableField id="2" name="DynamicAvgSuccessRate" tableColumnId="2"/>
      <queryTableField id="3" name="DynamicAvgInitialReputation" tableColumnId="3"/>
      <queryTableField id="4" name="DynamiAvgUpdateReputation" tableColumnId="4"/>
      <queryTableField id="5" name="DynamicAvgisMalicious" tableColumnId="5"/>
      <queryTableField id="6" name="DynamicAvgLatency" tableColumnId="6"/>
      <queryTableField id="7" name="FixedAvgSuccessRate" tableColumnId="7"/>
      <queryTableField id="8" name="FixedAvgInitialReputation" tableColumnId="8"/>
      <queryTableField id="9" name="FixedAvgUpdateReputation" tableColumnId="9"/>
      <queryTableField id="10" name="FixedAvgisMalicious" tableColumnId="10"/>
      <queryTableField id="11" name="FixedAvgLatency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90D2332-C8D1-4B3E-A0A3-612473BE92BF}" autoFormatId="16" applyNumberFormats="0" applyBorderFormats="0" applyFontFormats="0" applyPatternFormats="0" applyAlignmentFormats="0" applyWidthHeightFormats="0">
  <queryTableRefresh nextId="12">
    <queryTableFields count="11">
      <queryTableField id="1" name="MaliciousPercentage" tableColumnId="1"/>
      <queryTableField id="2" name="DynamicAvgSuccessRate" tableColumnId="2"/>
      <queryTableField id="3" name="DynamicAvgInitialReputation" tableColumnId="3"/>
      <queryTableField id="4" name="DynamiAvgUpdateReputation" tableColumnId="4"/>
      <queryTableField id="5" name="DynamicAvgisMalicious" tableColumnId="5"/>
      <queryTableField id="6" name="DynamicAvgLatency" tableColumnId="6"/>
      <queryTableField id="7" name="FixedAvgSuccessRate" tableColumnId="7"/>
      <queryTableField id="8" name="FixedAvgInitialReputation" tableColumnId="8"/>
      <queryTableField id="9" name="FixedAvgUpdateReputation" tableColumnId="9"/>
      <queryTableField id="10" name="FixedAvgisMalicious" tableColumnId="10"/>
      <queryTableField id="11" name="FixedAvgLatency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58A268F-74E1-480A-BCED-0C53AFEE843A}" autoFormatId="16" applyNumberFormats="0" applyBorderFormats="0" applyFontFormats="0" applyPatternFormats="0" applyAlignmentFormats="0" applyWidthHeightFormats="0">
  <queryTableRefresh nextId="12">
    <queryTableFields count="11">
      <queryTableField id="1" name="MaliciousPercentage" tableColumnId="1"/>
      <queryTableField id="2" name="DynamicAvgSuccessRate" tableColumnId="2"/>
      <queryTableField id="3" name="DynamicAvgInitialReputation" tableColumnId="3"/>
      <queryTableField id="4" name="DynamiAvgUpdateReputation" tableColumnId="4"/>
      <queryTableField id="5" name="DynamicAvgisMalicious" tableColumnId="5"/>
      <queryTableField id="6" name="DynamicAvgLatency" tableColumnId="6"/>
      <queryTableField id="7" name="FixedAvgSuccessRate" tableColumnId="7"/>
      <queryTableField id="8" name="FixedAvgInitialReputation" tableColumnId="8"/>
      <queryTableField id="9" name="FixedAvgUpdateReputation" tableColumnId="9"/>
      <queryTableField id="10" name="FixedAvgisMalicious" tableColumnId="10"/>
      <queryTableField id="11" name="FixedAvgLatency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2E806FE-0132-4DC1-8BC2-23766DCB77B7}" autoFormatId="16" applyNumberFormats="0" applyBorderFormats="0" applyFontFormats="0" applyPatternFormats="0" applyAlignmentFormats="0" applyWidthHeightFormats="0">
  <queryTableRefresh nextId="12">
    <queryTableFields count="11">
      <queryTableField id="1" name="MaliciousPercentage" tableColumnId="1"/>
      <queryTableField id="2" name="DynamicAvgSuccessRate" tableColumnId="2"/>
      <queryTableField id="3" name="DynamicAvgInitialReputation" tableColumnId="3"/>
      <queryTableField id="4" name="DynamiAvgUpdateReputation" tableColumnId="4"/>
      <queryTableField id="5" name="DynamicAvgisMalicious" tableColumnId="5"/>
      <queryTableField id="6" name="DynamicAvgLatency" tableColumnId="6"/>
      <queryTableField id="7" name="FixedAvgSuccessRate" tableColumnId="7"/>
      <queryTableField id="8" name="FixedAvgInitialReputation" tableColumnId="8"/>
      <queryTableField id="9" name="FixedAvgUpdateReputation" tableColumnId="9"/>
      <queryTableField id="10" name="FixedAvgisMalicious" tableColumnId="10"/>
      <queryTableField id="11" name="FixedAvgLatency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3393A4D-7416-430E-A292-87CFFD536547}" autoFormatId="16" applyNumberFormats="0" applyBorderFormats="0" applyFontFormats="0" applyPatternFormats="0" applyAlignmentFormats="0" applyWidthHeightFormats="0">
  <queryTableRefresh nextId="12">
    <queryTableFields count="11">
      <queryTableField id="1" name="MaliciousPercentage" tableColumnId="1"/>
      <queryTableField id="2" name="DynamicAvgSuccessRate" tableColumnId="2"/>
      <queryTableField id="3" name="DynamicAvgInitialReputation" tableColumnId="3"/>
      <queryTableField id="4" name="DynamiAvgUpdateReputation" tableColumnId="4"/>
      <queryTableField id="5" name="DynamicAvgisMalicious" tableColumnId="5"/>
      <queryTableField id="6" name="DynamicAvgLatency" tableColumnId="6"/>
      <queryTableField id="7" name="FixedAvgSuccessRate" tableColumnId="7"/>
      <queryTableField id="8" name="FixedAvgInitialReputation" tableColumnId="8"/>
      <queryTableField id="9" name="FixedAvgUpdateReputation" tableColumnId="9"/>
      <queryTableField id="10" name="FixedAvgisMalicious" tableColumnId="10"/>
      <queryTableField id="11" name="FixedAvgLatency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D80DA3D-D781-4AEC-B05D-CE83565FA3BB}" autoFormatId="16" applyNumberFormats="0" applyBorderFormats="0" applyFontFormats="0" applyPatternFormats="0" applyAlignmentFormats="0" applyWidthHeightFormats="0">
  <queryTableRefresh nextId="12">
    <queryTableFields count="11">
      <queryTableField id="1" name="MaliciousPercentage" tableColumnId="1"/>
      <queryTableField id="2" name="DynamicAvgSuccessRate" tableColumnId="2"/>
      <queryTableField id="3" name="DynamicAvgInitialReputation" tableColumnId="3"/>
      <queryTableField id="4" name="DynamiAvgUpdateReputation" tableColumnId="4"/>
      <queryTableField id="5" name="DynamicAvgisMalicious" tableColumnId="5"/>
      <queryTableField id="6" name="DynamicAvgLatency" tableColumnId="6"/>
      <queryTableField id="7" name="FixedAvgSuccessRate" tableColumnId="7"/>
      <queryTableField id="8" name="FixedAvgInitialReputation" tableColumnId="8"/>
      <queryTableField id="9" name="FixedAvgUpdateReputation" tableColumnId="9"/>
      <queryTableField id="10" name="FixedAvgisMalicious" tableColumnId="10"/>
      <queryTableField id="11" name="FixedAvgLatency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4BAB3A-3344-4885-9FE2-B794F4FFCA91}" autoFormatId="16" applyNumberFormats="0" applyBorderFormats="0" applyFontFormats="0" applyPatternFormats="0" applyAlignmentFormats="0" applyWidthHeightFormats="0">
  <queryTableRefresh nextId="12">
    <queryTableFields count="11">
      <queryTableField id="1" name="MaliciousPercentage" tableColumnId="1"/>
      <queryTableField id="2" name="DynamicAvgSuccessRate" tableColumnId="2"/>
      <queryTableField id="3" name="DynamicAvgInitialReputation" tableColumnId="3"/>
      <queryTableField id="4" name="DynamiAvgUpdateReputation" tableColumnId="4"/>
      <queryTableField id="5" name="DynamicAvgisMalicious" tableColumnId="5"/>
      <queryTableField id="6" name="DynamicAvgLatency" tableColumnId="6"/>
      <queryTableField id="7" name="FixedAvgSuccessRate" tableColumnId="7"/>
      <queryTableField id="8" name="FixedAvgInitialReputation" tableColumnId="8"/>
      <queryTableField id="9" name="FixedAvgUpdateReputation" tableColumnId="9"/>
      <queryTableField id="10" name="FixedAvgisMalicious" tableColumnId="10"/>
      <queryTableField id="11" name="FixedAvgLatenc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55CC5A-2F8C-4E18-844C-7942BE55FB39}" name="Append2" displayName="Append2" ref="B1:R37" tableType="queryTable" totalsRowCount="1" headerRowDxfId="37" headerRowBorderDxfId="36" tableBorderDxfId="35" totalsRowBorderDxfId="34">
  <autoFilter ref="B1:R36" xr:uid="{F255CC5A-2F8C-4E18-844C-7942BE55FB39}"/>
  <tableColumns count="17">
    <tableColumn id="1" xr3:uid="{59063309-846F-49D8-9EB4-0F3182E86901}" uniqueName="1" name="MaliciousPercentage" queryTableFieldId="1" dataDxfId="33" totalsRowDxfId="32"/>
    <tableColumn id="2" xr3:uid="{4C114E47-647D-4392-8FF2-4EC3A4AA0223}" uniqueName="2" name="DynamicAvgSuccessRate" totalsRowFunction="custom" queryTableFieldId="2" dataDxfId="31" totalsRowDxfId="30">
      <totalsRowFormula>AVERAGE(C2:C26)</totalsRowFormula>
    </tableColumn>
    <tableColumn id="13" xr3:uid="{3C6B2F6A-AB01-4F59-9035-1C6A972050CE}" uniqueName="13" name="DynamicAvgSuccessRate%" queryTableFieldId="13" dataDxfId="29" totalsRowDxfId="28">
      <calculatedColumnFormula>Append2[[#This Row],[DynamicAvgSuccessRate]]*100</calculatedColumnFormula>
    </tableColumn>
    <tableColumn id="12" xr3:uid="{F2F094BB-E68C-43BD-BD09-A6F3466A313B}" uniqueName="12" name="Success Rate (excluding non-malicious failures)" queryTableFieldId="12" dataDxfId="27" totalsRowDxfId="26">
      <calculatedColumnFormula>Append2[[#This Row],[DynamicAvgSuccessRate]]/(Append2[[#This Row],[DynamicAvgSuccessRate]]+Append2[[#This Row],[DynamicAvgisMalicious]])*100</calculatedColumnFormula>
    </tableColumn>
    <tableColumn id="3" xr3:uid="{8AF3C0C7-DDC6-4939-88AD-2496A1949E73}" uniqueName="3" name="DynamicAvgInitialReputation" totalsRowFunction="custom" queryTableFieldId="3" dataDxfId="25" totalsRowDxfId="24">
      <totalsRowFormula>AVERAGE(F2:F26)</totalsRowFormula>
    </tableColumn>
    <tableColumn id="4" xr3:uid="{8D4A4194-00D4-456C-9E7B-42346C4DB57E}" uniqueName="4" name="DynamiAvgUpdateReputation" totalsRowFunction="custom" queryTableFieldId="4" dataDxfId="23" totalsRowDxfId="22">
      <totalsRowFormula>AVERAGE(G2:G26)</totalsRowFormula>
    </tableColumn>
    <tableColumn id="5" xr3:uid="{5E3FD9CE-919D-4E8A-B58E-4828AB08CC12}" uniqueName="5" name="DynamicAvgisMalicious" queryTableFieldId="5" dataDxfId="21" totalsRowDxfId="20"/>
    <tableColumn id="14" xr3:uid="{ACA5D90A-9CC2-4898-AB8F-21A40B749D4D}" uniqueName="14" name="DynamicAvgisMalicious%" queryTableFieldId="14" dataDxfId="19" totalsRowDxfId="18">
      <calculatedColumnFormula>Append2[[#This Row],[DynamicAvgisMalicious]]*100</calculatedColumnFormula>
    </tableColumn>
    <tableColumn id="15" xr3:uid="{395653E2-8900-4BAA-8AF7-37E2D3D62E42}" uniqueName="15" name="DynamicMAR" totalsRowFunction="custom" queryTableFieldId="15" dataDxfId="17" totalsRowDxfId="16">
      <calculatedColumnFormula>(1-Append2[[#This Row],[DynamicAvgisMalicious]])</calculatedColumnFormula>
      <totalsRowFormula>AVERAGE(J2:J26)</totalsRowFormula>
    </tableColumn>
    <tableColumn id="16" xr3:uid="{6414D367-929C-4614-BA97-FD163FA964DF}" uniqueName="16" name="DynamicMAR%" queryTableFieldId="16" dataDxfId="15" totalsRowDxfId="14">
      <calculatedColumnFormula>Append2[[#This Row],[DynamicMAR]]*100</calculatedColumnFormula>
    </tableColumn>
    <tableColumn id="6" xr3:uid="{B2A0C88B-151C-4819-959B-25A4A5C7BC92}" uniqueName="6" name="DynamicAvgLatency" totalsRowFunction="custom" queryTableFieldId="6" dataDxfId="13" totalsRowDxfId="12">
      <totalsRowFormula>AVERAGE(L2:L26)</totalsRowFormula>
    </tableColumn>
    <tableColumn id="7" xr3:uid="{DBF409E1-753E-42A3-937C-C31DDBFCB6E8}" uniqueName="7" name="FixedAvgSuccessRate" totalsRowFunction="custom" queryTableFieldId="7" dataDxfId="11" totalsRowDxfId="10">
      <totalsRowFormula>AVERAGE(M2:M26)</totalsRowFormula>
    </tableColumn>
    <tableColumn id="8" xr3:uid="{13147A22-7782-42FF-B703-54BDC99A8612}" uniqueName="8" name="FixedAvgInitialReputation" totalsRowFunction="custom" queryTableFieldId="8" dataDxfId="9" totalsRowDxfId="8">
      <totalsRowFormula>AVERAGE(N2:N26)</totalsRowFormula>
    </tableColumn>
    <tableColumn id="9" xr3:uid="{3B883F66-5CE8-4606-A5EA-32C27BFAA4D5}" uniqueName="9" name="FixedAvgUpdateReputation" totalsRowFunction="custom" queryTableFieldId="9" dataDxfId="7" totalsRowDxfId="6">
      <totalsRowFormula>AVERAGE(O2:O26)</totalsRowFormula>
    </tableColumn>
    <tableColumn id="10" xr3:uid="{5A49C36E-4811-4DD6-BC12-87119E2325F6}" uniqueName="10" name="FixedAvgisMalicious" queryTableFieldId="10" dataDxfId="5" totalsRowDxfId="4"/>
    <tableColumn id="17" xr3:uid="{9E97DB67-FBB3-455A-A3F1-061DDE6A64BA}" uniqueName="17" name="FixedMAR" totalsRowFunction="custom" queryTableFieldId="17" dataDxfId="3" totalsRowDxfId="2">
      <calculatedColumnFormula>(1-Append2[[#This Row],[FixedAvgisMalicious]])</calculatedColumnFormula>
      <totalsRowFormula>AVERAGE(Q2:Q26)</totalsRowFormula>
    </tableColumn>
    <tableColumn id="11" xr3:uid="{8EC32290-9423-4113-B0F7-773F3D9F932E}" uniqueName="11" name="FixedAvgLatency" totalsRowFunction="custom" queryTableFieldId="11" dataDxfId="1" totalsRowDxfId="0">
      <totalsRowFormula>AVERAGE(R2:R26)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320C5A-5E90-4B6D-A10A-896F16BF495C}" name="allResults_S7_2_random_selection" displayName="allResults_S7_2_random_selection" ref="A1:K6" tableType="queryTable" totalsRowShown="0">
  <autoFilter ref="A1:K6" xr:uid="{6E320C5A-5E90-4B6D-A10A-896F16BF495C}"/>
  <tableColumns count="11">
    <tableColumn id="1" xr3:uid="{0F61B4F7-06D9-499F-9F3E-494A332F3DFD}" uniqueName="1" name="MaliciousPercentage" queryTableFieldId="1"/>
    <tableColumn id="2" xr3:uid="{1ED4FD5F-DBBA-4A57-93B7-404F6BBFA4F9}" uniqueName="2" name="DynamicAvgSuccessRate" queryTableFieldId="2"/>
    <tableColumn id="3" xr3:uid="{8F1D41AD-A3E1-43D4-BCAA-90D62170FD27}" uniqueName="3" name="DynamicAvgInitialReputation" queryTableFieldId="3"/>
    <tableColumn id="4" xr3:uid="{1472C655-9C6D-439E-A864-A7F9258EE12C}" uniqueName="4" name="DynamiAvgUpdateReputation" queryTableFieldId="4"/>
    <tableColumn id="5" xr3:uid="{DB1D2839-FDC9-4293-9185-EDF2B3C9AA19}" uniqueName="5" name="DynamicAvgisMalicious" queryTableFieldId="5"/>
    <tableColumn id="6" xr3:uid="{DFFE4A4F-A63B-4B20-9512-0EECA2333811}" uniqueName="6" name="DynamicAvgLatency" queryTableFieldId="6"/>
    <tableColumn id="7" xr3:uid="{E75E8FEE-1098-48D8-BB2A-ABF778C058D5}" uniqueName="7" name="FixedAvgSuccessRate" queryTableFieldId="7"/>
    <tableColumn id="8" xr3:uid="{C7A8809F-08CC-41F9-AF56-A9718980DDCD}" uniqueName="8" name="FixedAvgInitialReputation" queryTableFieldId="8"/>
    <tableColumn id="9" xr3:uid="{B4DA9EB7-32AF-45BA-9E1A-22224180E004}" uniqueName="9" name="FixedAvgUpdateReputation" queryTableFieldId="9"/>
    <tableColumn id="10" xr3:uid="{1DD0D72E-6112-484D-8434-36564B4B33B2}" uniqueName="10" name="FixedAvgisMalicious" queryTableFieldId="10"/>
    <tableColumn id="11" xr3:uid="{87FA9C65-9970-4C17-8637-E3E57498134C}" uniqueName="11" name="FixedAvgLatency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B3AB15-FBC2-4F2C-B0E9-D6F83F663C49}" name="allResults_S6_2_random_selection" displayName="allResults_S6_2_random_selection" ref="A1:K6" tableType="queryTable" totalsRowShown="0">
  <autoFilter ref="A1:K6" xr:uid="{2FB3AB15-FBC2-4F2C-B0E9-D6F83F663C49}"/>
  <tableColumns count="11">
    <tableColumn id="1" xr3:uid="{EF50241A-2E01-48F1-91D6-EEC1839EA65F}" uniqueName="1" name="MaliciousPercentage" queryTableFieldId="1"/>
    <tableColumn id="2" xr3:uid="{C0E1C0F4-65A1-4049-A088-19C802B7C7AE}" uniqueName="2" name="DynamicAvgSuccessRate" queryTableFieldId="2"/>
    <tableColumn id="3" xr3:uid="{1FACEF5B-0564-4AE5-B941-9EE5739E1605}" uniqueName="3" name="DynamicAvgInitialReputation" queryTableFieldId="3"/>
    <tableColumn id="4" xr3:uid="{2A8CA2E7-13EE-42A7-B2B8-35D3F9EBD286}" uniqueName="4" name="DynamiAvgUpdateReputation" queryTableFieldId="4"/>
    <tableColumn id="5" xr3:uid="{54580480-0E68-49BA-B364-F396BC871D2A}" uniqueName="5" name="DynamicAvgisMalicious" queryTableFieldId="5"/>
    <tableColumn id="6" xr3:uid="{834566D7-B56F-4B3F-8BCC-3A37C7FA43D3}" uniqueName="6" name="DynamicAvgLatency" queryTableFieldId="6"/>
    <tableColumn id="7" xr3:uid="{149DA476-C314-4CE9-9629-C9CBC0070BF0}" uniqueName="7" name="FixedAvgSuccessRate" queryTableFieldId="7"/>
    <tableColumn id="8" xr3:uid="{60F54A8A-09E8-44D6-9784-516745ADCEF9}" uniqueName="8" name="FixedAvgInitialReputation" queryTableFieldId="8"/>
    <tableColumn id="9" xr3:uid="{3F4CFE3F-E45A-4D93-85DD-7B867FC6621F}" uniqueName="9" name="FixedAvgUpdateReputation" queryTableFieldId="9"/>
    <tableColumn id="10" xr3:uid="{85F1C0AA-509A-40FF-AA0C-5B3852D3D0E1}" uniqueName="10" name="FixedAvgisMalicious" queryTableFieldId="10"/>
    <tableColumn id="11" xr3:uid="{A759A2C7-883C-4EAE-BE8B-8CEAA432EE18}" uniqueName="11" name="FixedAvgLatency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B9A381-B6A2-487B-B3D9-345FD57828E5}" name="allResults_S5_2_random_assign" displayName="allResults_S5_2_random_assign" ref="A1:K6" tableType="queryTable" totalsRowShown="0">
  <autoFilter ref="A1:K6" xr:uid="{AFB9A381-B6A2-487B-B3D9-345FD57828E5}"/>
  <tableColumns count="11">
    <tableColumn id="1" xr3:uid="{39A50C00-D437-4573-9BA6-AD6294B2A8A0}" uniqueName="1" name="MaliciousPercentage" queryTableFieldId="1"/>
    <tableColumn id="2" xr3:uid="{2977995F-F95A-41F0-8017-609EAEC04058}" uniqueName="2" name="DynamicAvgSuccessRate" queryTableFieldId="2"/>
    <tableColumn id="3" xr3:uid="{633B9BCC-9718-47E0-BF50-F5463C5AD378}" uniqueName="3" name="DynamicAvgInitialReputation" queryTableFieldId="3"/>
    <tableColumn id="4" xr3:uid="{81311E29-FDC9-4BEC-B5DB-F99B047F3A0B}" uniqueName="4" name="DynamiAvgUpdateReputation" queryTableFieldId="4"/>
    <tableColumn id="5" xr3:uid="{6A48F113-848F-4C78-B9DF-D74B8B804964}" uniqueName="5" name="DynamicAvgisMalicious" queryTableFieldId="5"/>
    <tableColumn id="6" xr3:uid="{A65D18BC-D940-4DD7-BD39-2DACB19CA9E9}" uniqueName="6" name="DynamicAvgLatency" queryTableFieldId="6"/>
    <tableColumn id="7" xr3:uid="{69B4A718-67BD-4E9C-A65E-893F13CB35EB}" uniqueName="7" name="FixedAvgSuccessRate" queryTableFieldId="7"/>
    <tableColumn id="8" xr3:uid="{F69AC4DC-D21F-4378-88F5-832A8F0DEFDA}" uniqueName="8" name="FixedAvgInitialReputation" queryTableFieldId="8"/>
    <tableColumn id="9" xr3:uid="{8FB227D1-B5D6-49A9-8286-91E0FBE78F3D}" uniqueName="9" name="FixedAvgUpdateReputation" queryTableFieldId="9"/>
    <tableColumn id="10" xr3:uid="{0816EADA-ECB2-4850-B87E-A57B64872085}" uniqueName="10" name="FixedAvgisMalicious" queryTableFieldId="10"/>
    <tableColumn id="11" xr3:uid="{36D228BB-F1A9-436A-B03A-CAB7BC98745A}" uniqueName="11" name="FixedAvgLatency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987A8A-D3DE-4208-9012-9E3E0D520B94}" name="allResults_S4_2" displayName="allResults_S4_2" ref="A1:K6" tableType="queryTable" totalsRowShown="0">
  <autoFilter ref="A1:K6" xr:uid="{31987A8A-D3DE-4208-9012-9E3E0D520B94}"/>
  <tableColumns count="11">
    <tableColumn id="1" xr3:uid="{8BC827F7-5A0A-4DFB-A17A-20F90C7B8832}" uniqueName="1" name="MaliciousPercentage" queryTableFieldId="1"/>
    <tableColumn id="2" xr3:uid="{FAB9D4CB-A3CD-45C9-AB54-AC47ECB1B557}" uniqueName="2" name="DynamicAvgSuccessRate" queryTableFieldId="2"/>
    <tableColumn id="3" xr3:uid="{0D9D6D80-D9EC-4535-8FC5-64C89F6EEA47}" uniqueName="3" name="DynamicAvgInitialReputation" queryTableFieldId="3"/>
    <tableColumn id="4" xr3:uid="{BBA3489A-EDDE-49C0-9BAA-E6918728A370}" uniqueName="4" name="DynamiAvgUpdateReputation" queryTableFieldId="4"/>
    <tableColumn id="5" xr3:uid="{94A16788-5432-485B-8A52-F8EE37C6DDE3}" uniqueName="5" name="DynamicAvgisMalicious" queryTableFieldId="5"/>
    <tableColumn id="6" xr3:uid="{963926F6-E383-4805-95C5-04A4C955F7C4}" uniqueName="6" name="DynamicAvgLatency" queryTableFieldId="6"/>
    <tableColumn id="7" xr3:uid="{F79EF7EC-1E81-4ED6-A352-6C64C586E8EB}" uniqueName="7" name="FixedAvgSuccessRate" queryTableFieldId="7"/>
    <tableColumn id="8" xr3:uid="{F5224C2A-019A-4310-ACDD-D5235DF81C05}" uniqueName="8" name="FixedAvgInitialReputation" queryTableFieldId="8"/>
    <tableColumn id="9" xr3:uid="{9AE477B3-2E4D-4D66-990E-B586FDE2EA64}" uniqueName="9" name="FixedAvgUpdateReputation" queryTableFieldId="9"/>
    <tableColumn id="10" xr3:uid="{8DE9DEE6-FD74-41F1-806C-C81EE1132D78}" uniqueName="10" name="FixedAvgisMalicious" queryTableFieldId="10"/>
    <tableColumn id="11" xr3:uid="{EE9A6654-E810-4165-8EF2-499086EAC328}" uniqueName="11" name="FixedAvgLatency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514107-51DD-481E-89BD-735D051FAD55}" name="allResults_S3_2" displayName="allResults_S3_2" ref="A1:K6" tableType="queryTable" totalsRowShown="0">
  <autoFilter ref="A1:K6" xr:uid="{35514107-51DD-481E-89BD-735D051FAD55}"/>
  <tableColumns count="11">
    <tableColumn id="1" xr3:uid="{6FBF04DD-5D83-443C-BBEE-9C036ACA534D}" uniqueName="1" name="MaliciousPercentage" queryTableFieldId="1"/>
    <tableColumn id="2" xr3:uid="{96B86F70-94C3-4D5E-8517-BDD360325F69}" uniqueName="2" name="DynamicAvgSuccessRate" queryTableFieldId="2"/>
    <tableColumn id="3" xr3:uid="{B64167C5-15FB-4642-A830-D3AB6E8E5284}" uniqueName="3" name="DynamicAvgInitialReputation" queryTableFieldId="3"/>
    <tableColumn id="4" xr3:uid="{442E0B35-8BA5-42B9-8878-F9C80543C293}" uniqueName="4" name="DynamiAvgUpdateReputation" queryTableFieldId="4"/>
    <tableColumn id="5" xr3:uid="{FF622BC7-77E4-434D-AD65-D63069CA70A5}" uniqueName="5" name="DynamicAvgisMalicious" queryTableFieldId="5"/>
    <tableColumn id="6" xr3:uid="{2C240A6F-CD7F-4019-B1B8-54306A8E3315}" uniqueName="6" name="DynamicAvgLatency" queryTableFieldId="6"/>
    <tableColumn id="7" xr3:uid="{850BE2EA-A181-460C-876F-F7595D431D69}" uniqueName="7" name="FixedAvgSuccessRate" queryTableFieldId="7"/>
    <tableColumn id="8" xr3:uid="{E3339191-F5C4-4880-9A31-A0A87E990E1A}" uniqueName="8" name="FixedAvgInitialReputation" queryTableFieldId="8"/>
    <tableColumn id="9" xr3:uid="{0EE2BBCD-A1B5-48FC-B069-02EBEEA7EAC8}" uniqueName="9" name="FixedAvgUpdateReputation" queryTableFieldId="9"/>
    <tableColumn id="10" xr3:uid="{70DAF337-47DA-48EB-A577-521B261956FB}" uniqueName="10" name="FixedAvgisMalicious" queryTableFieldId="10"/>
    <tableColumn id="11" xr3:uid="{E1132675-1E39-4634-8741-E25F30668429}" uniqueName="11" name="FixedAvgLatency" queryTableField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AD0BD-6260-4060-A0CC-E2144CB2893B}" name="allResults_S2_2" displayName="allResults_S2_2" ref="A1:K6" tableType="queryTable" totalsRowShown="0">
  <autoFilter ref="A1:K6" xr:uid="{E1FAD0BD-6260-4060-A0CC-E2144CB2893B}"/>
  <tableColumns count="11">
    <tableColumn id="1" xr3:uid="{C4417AAC-D32A-477F-B3BF-306ED4276E84}" uniqueName="1" name="MaliciousPercentage" queryTableFieldId="1"/>
    <tableColumn id="2" xr3:uid="{715FCD66-8562-431E-B9AA-AAF83144A191}" uniqueName="2" name="DynamicAvgSuccessRate" queryTableFieldId="2"/>
    <tableColumn id="3" xr3:uid="{54A17FFE-2C81-4F54-BA30-2BBF847C117A}" uniqueName="3" name="DynamicAvgInitialReputation" queryTableFieldId="3"/>
    <tableColumn id="4" xr3:uid="{CF513A17-528A-43E6-98E9-8F8385BA99D1}" uniqueName="4" name="DynamiAvgUpdateReputation" queryTableFieldId="4"/>
    <tableColumn id="5" xr3:uid="{02301466-F6EF-4893-BAB1-97192650DB88}" uniqueName="5" name="DynamicAvgisMalicious" queryTableFieldId="5"/>
    <tableColumn id="6" xr3:uid="{D842844D-149C-4BB9-896A-1B3734FF5B38}" uniqueName="6" name="DynamicAvgLatency" queryTableFieldId="6"/>
    <tableColumn id="7" xr3:uid="{4EC71160-8EDA-4E05-B2F1-CC5E43BEA28C}" uniqueName="7" name="FixedAvgSuccessRate" queryTableFieldId="7"/>
    <tableColumn id="8" xr3:uid="{66C5751C-40FB-4170-BE2A-C5E5E35BD497}" uniqueName="8" name="FixedAvgInitialReputation" queryTableFieldId="8"/>
    <tableColumn id="9" xr3:uid="{FE355AA6-A66E-4A48-AEF7-2545A1E58070}" uniqueName="9" name="FixedAvgUpdateReputation" queryTableFieldId="9"/>
    <tableColumn id="10" xr3:uid="{E8ACB5E9-5AC8-4577-A8AE-FE7ADB99B388}" uniqueName="10" name="FixedAvgisMalicious" queryTableFieldId="10"/>
    <tableColumn id="11" xr3:uid="{7BC7FAD2-7A2F-4FA3-A865-816C4B892CE7}" uniqueName="11" name="FixedAvgLatency" queryTableField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A9480-47CA-4104-9D6D-288CFD1D9E50}" name="allResults_S1_2" displayName="allResults_S1_2" ref="A1:K6" tableType="queryTable" totalsRowShown="0">
  <autoFilter ref="A1:K6" xr:uid="{9A5A9480-47CA-4104-9D6D-288CFD1D9E50}"/>
  <tableColumns count="11">
    <tableColumn id="1" xr3:uid="{73EF0A48-5FA6-4857-A33A-A77DB2082516}" uniqueName="1" name="MaliciousPercentage" queryTableFieldId="1"/>
    <tableColumn id="2" xr3:uid="{A92036F0-8660-4A2C-8C66-AA55AE473005}" uniqueName="2" name="DynamicAvgSuccessRate" queryTableFieldId="2"/>
    <tableColumn id="3" xr3:uid="{555944FF-48BD-4320-AADC-9F33CF85D1CA}" uniqueName="3" name="DynamicAvgInitialReputation" queryTableFieldId="3"/>
    <tableColumn id="4" xr3:uid="{C7861927-EDF5-4DA4-AC23-4DC645F3FD58}" uniqueName="4" name="DynamiAvgUpdateReputation" queryTableFieldId="4"/>
    <tableColumn id="5" xr3:uid="{0B01B15D-ABCD-422F-A8DA-16A42B7C912B}" uniqueName="5" name="DynamicAvgisMalicious" queryTableFieldId="5"/>
    <tableColumn id="6" xr3:uid="{2F836EE9-E22E-4705-BD69-2CDD896C5B31}" uniqueName="6" name="DynamicAvgLatency" queryTableFieldId="6"/>
    <tableColumn id="7" xr3:uid="{B2EC9979-E71B-4071-BD3E-FD6A713A5A83}" uniqueName="7" name="FixedAvgSuccessRate" queryTableFieldId="7"/>
    <tableColumn id="8" xr3:uid="{87CABD8D-71B2-450D-9265-3785EEB60426}" uniqueName="8" name="FixedAvgInitialReputation" queryTableFieldId="8"/>
    <tableColumn id="9" xr3:uid="{E719A9D9-2228-4516-A69F-81D20ADD6A6C}" uniqueName="9" name="FixedAvgUpdateReputation" queryTableFieldId="9"/>
    <tableColumn id="10" xr3:uid="{630A9734-CF64-4DB1-A407-2FE77588F20B}" uniqueName="10" name="FixedAvgisMalicious" queryTableFieldId="10"/>
    <tableColumn id="11" xr3:uid="{A1DE5936-E3A0-4BE9-8B95-5C16D924C687}" uniqueName="11" name="FixedAvgLatency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B3A5-0A0F-4AAE-A068-4FF9F655C39B}">
  <dimension ref="A1:R41"/>
  <sheetViews>
    <sheetView tabSelected="1" topLeftCell="A13" zoomScale="75" zoomScaleNormal="75" workbookViewId="0">
      <selection activeCell="D41" sqref="D41"/>
    </sheetView>
  </sheetViews>
  <sheetFormatPr defaultRowHeight="14.5" x14ac:dyDescent="0.35"/>
  <cols>
    <col min="1" max="1" width="28.54296875" style="35" customWidth="1"/>
    <col min="2" max="2" width="20.7265625" bestFit="1" customWidth="1"/>
    <col min="3" max="3" width="24.36328125" bestFit="1" customWidth="1"/>
    <col min="4" max="4" width="24.36328125" customWidth="1"/>
    <col min="5" max="5" width="22.90625" customWidth="1"/>
    <col min="6" max="6" width="27.7265625" bestFit="1" customWidth="1"/>
    <col min="7" max="7" width="27.81640625" bestFit="1" customWidth="1"/>
    <col min="8" max="8" width="23.08984375" bestFit="1" customWidth="1"/>
    <col min="9" max="11" width="23.08984375" customWidth="1"/>
    <col min="12" max="12" width="20.08984375" bestFit="1" customWidth="1"/>
    <col min="13" max="13" width="21.453125" bestFit="1" customWidth="1"/>
    <col min="14" max="14" width="24.7265625" bestFit="1" customWidth="1"/>
    <col min="15" max="15" width="25.90625" bestFit="1" customWidth="1"/>
    <col min="16" max="16" width="20.26953125" bestFit="1" customWidth="1"/>
    <col min="17" max="17" width="20.26953125" customWidth="1"/>
    <col min="18" max="18" width="17.1796875" bestFit="1" customWidth="1"/>
  </cols>
  <sheetData>
    <row r="1" spans="1:18" x14ac:dyDescent="0.35">
      <c r="A1" s="35" t="s">
        <v>38</v>
      </c>
      <c r="B1" s="1" t="s">
        <v>0</v>
      </c>
      <c r="C1" s="2" t="s">
        <v>1</v>
      </c>
      <c r="D1" s="2" t="s">
        <v>20</v>
      </c>
      <c r="E1" s="2" t="s">
        <v>19</v>
      </c>
      <c r="F1" s="2" t="s">
        <v>2</v>
      </c>
      <c r="G1" s="2" t="s">
        <v>3</v>
      </c>
      <c r="H1" s="2" t="s">
        <v>4</v>
      </c>
      <c r="I1" s="2" t="s">
        <v>21</v>
      </c>
      <c r="J1" s="2" t="s">
        <v>24</v>
      </c>
      <c r="K1" s="2" t="s">
        <v>23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3" t="s">
        <v>22</v>
      </c>
      <c r="R1" s="3" t="s">
        <v>10</v>
      </c>
    </row>
    <row r="2" spans="1:18" s="34" customFormat="1" x14ac:dyDescent="0.35">
      <c r="A2" s="42" t="s">
        <v>11</v>
      </c>
      <c r="B2" s="4">
        <v>10</v>
      </c>
      <c r="C2" s="5">
        <v>0.96299999999999997</v>
      </c>
      <c r="D2" s="5">
        <f>Append2[[#This Row],[DynamicAvgSuccessRate]]*100</f>
        <v>96.3</v>
      </c>
      <c r="E2" s="5">
        <f>Append2[[#This Row],[DynamicAvgSuccessRate]]/(Append2[[#This Row],[DynamicAvgSuccessRate]]+Append2[[#This Row],[DynamicAvgisMalicious]])*100</f>
        <v>99.074074074074076</v>
      </c>
      <c r="F2" s="5">
        <v>0.57608333333333295</v>
      </c>
      <c r="G2" s="5">
        <v>0.62703846153846499</v>
      </c>
      <c r="H2" s="5">
        <v>8.9999999999999993E-3</v>
      </c>
      <c r="I2" s="5">
        <f>Append2[[#This Row],[DynamicAvgisMalicious]]*100</f>
        <v>0.89999999999999991</v>
      </c>
      <c r="J2" s="5">
        <f>(1-Append2[[#This Row],[DynamicAvgisMalicious]])</f>
        <v>0.99099999999999999</v>
      </c>
      <c r="K2" s="5">
        <f>Append2[[#This Row],[DynamicMAR]]*100</f>
        <v>99.1</v>
      </c>
      <c r="L2" s="5">
        <v>200.65507909619899</v>
      </c>
      <c r="M2" s="5">
        <v>0.85799999999999998</v>
      </c>
      <c r="N2" s="5">
        <v>0.598799999999997</v>
      </c>
      <c r="O2" s="5">
        <v>0.415833333333335</v>
      </c>
      <c r="P2" s="5">
        <v>0.115</v>
      </c>
      <c r="Q2" s="6">
        <f>(1-Append2[[#This Row],[FixedAvgisMalicious]])</f>
        <v>0.88500000000000001</v>
      </c>
      <c r="R2" s="6">
        <v>221.58102576170501</v>
      </c>
    </row>
    <row r="3" spans="1:18" s="34" customFormat="1" x14ac:dyDescent="0.35">
      <c r="A3" s="42"/>
      <c r="B3" s="4">
        <v>20</v>
      </c>
      <c r="C3" s="5">
        <v>0.95899999999999996</v>
      </c>
      <c r="D3" s="5">
        <f>Append2[[#This Row],[DynamicAvgSuccessRate]]*100</f>
        <v>95.899999999999991</v>
      </c>
      <c r="E3" s="5">
        <f>Append2[[#This Row],[DynamicAvgSuccessRate]]/(Append2[[#This Row],[DynamicAvgSuccessRate]]+Append2[[#This Row],[DynamicAvgisMalicious]])*100</f>
        <v>98.66255144032921</v>
      </c>
      <c r="F3" s="5">
        <v>0.57608333333333295</v>
      </c>
      <c r="G3" s="5">
        <v>0.62703846153846499</v>
      </c>
      <c r="H3" s="5">
        <v>1.2999999999999999E-2</v>
      </c>
      <c r="I3" s="5">
        <f>Append2[[#This Row],[DynamicAvgisMalicious]]*100</f>
        <v>1.3</v>
      </c>
      <c r="J3" s="5">
        <f>(1-Append2[[#This Row],[DynamicAvgisMalicious]])</f>
        <v>0.98699999999999999</v>
      </c>
      <c r="K3" s="5">
        <f>Append2[[#This Row],[DynamicMAR]]*100</f>
        <v>98.7</v>
      </c>
      <c r="L3" s="5">
        <v>201.65752764868</v>
      </c>
      <c r="M3" s="5">
        <v>0.77600000000000002</v>
      </c>
      <c r="N3" s="5">
        <v>0.598799999999997</v>
      </c>
      <c r="O3" s="5">
        <v>0.415833333333335</v>
      </c>
      <c r="P3" s="5">
        <v>0.19700000000000001</v>
      </c>
      <c r="Q3" s="6">
        <f>(1-Append2[[#This Row],[FixedAvgisMalicious]])</f>
        <v>0.80299999999999994</v>
      </c>
      <c r="R3" s="6">
        <v>236.54665846594</v>
      </c>
    </row>
    <row r="4" spans="1:18" s="34" customFormat="1" x14ac:dyDescent="0.35">
      <c r="A4" s="42"/>
      <c r="B4" s="4">
        <v>30</v>
      </c>
      <c r="C4" s="5">
        <v>0.93100000000000005</v>
      </c>
      <c r="D4" s="5">
        <f>Append2[[#This Row],[DynamicAvgSuccessRate]]*100</f>
        <v>93.100000000000009</v>
      </c>
      <c r="E4" s="5">
        <f>Append2[[#This Row],[DynamicAvgSuccessRate]]/(Append2[[#This Row],[DynamicAvgSuccessRate]]+Append2[[#This Row],[DynamicAvgisMalicious]])*100</f>
        <v>95.781893004115233</v>
      </c>
      <c r="F4" s="5">
        <v>0.57608333333333295</v>
      </c>
      <c r="G4" s="5">
        <v>0.62534615384615699</v>
      </c>
      <c r="H4" s="5">
        <v>4.1000000000000002E-2</v>
      </c>
      <c r="I4" s="5">
        <f>Append2[[#This Row],[DynamicAvgisMalicious]]*100</f>
        <v>4.1000000000000005</v>
      </c>
      <c r="J4" s="5">
        <f>(1-Append2[[#This Row],[DynamicAvgisMalicious]])</f>
        <v>0.95899999999999996</v>
      </c>
      <c r="K4" s="5">
        <f>Append2[[#This Row],[DynamicMAR]]*100</f>
        <v>95.899999999999991</v>
      </c>
      <c r="L4" s="5">
        <v>206.965142366191</v>
      </c>
      <c r="M4" s="5">
        <v>0.68799999999999994</v>
      </c>
      <c r="N4" s="5">
        <v>0.598799999999997</v>
      </c>
      <c r="O4" s="5">
        <v>0.415833333333335</v>
      </c>
      <c r="P4" s="5">
        <v>0.29199999999999998</v>
      </c>
      <c r="Q4" s="6">
        <f>(1-Append2[[#This Row],[FixedAvgisMalicious]])</f>
        <v>0.70799999999999996</v>
      </c>
      <c r="R4" s="6">
        <v>252.6599218483</v>
      </c>
    </row>
    <row r="5" spans="1:18" s="34" customFormat="1" x14ac:dyDescent="0.35">
      <c r="A5" s="42"/>
      <c r="B5" s="4">
        <v>40</v>
      </c>
      <c r="C5" s="5">
        <v>0.88800000000000001</v>
      </c>
      <c r="D5" s="5">
        <f>Append2[[#This Row],[DynamicAvgSuccessRate]]*100</f>
        <v>88.8</v>
      </c>
      <c r="E5" s="5">
        <f>Append2[[#This Row],[DynamicAvgSuccessRate]]/(Append2[[#This Row],[DynamicAvgSuccessRate]]+Append2[[#This Row],[DynamicAvgisMalicious]])*100</f>
        <v>91.358024691358025</v>
      </c>
      <c r="F5" s="5">
        <v>0.57608333333333295</v>
      </c>
      <c r="G5" s="5">
        <v>0.62042307692307996</v>
      </c>
      <c r="H5" s="5">
        <v>8.4000000000000005E-2</v>
      </c>
      <c r="I5" s="5">
        <f>Append2[[#This Row],[DynamicAvgisMalicious]]*100</f>
        <v>8.4</v>
      </c>
      <c r="J5" s="5">
        <f>(1-Append2[[#This Row],[DynamicAvgisMalicious]])</f>
        <v>0.91600000000000004</v>
      </c>
      <c r="K5" s="5">
        <f>Append2[[#This Row],[DynamicMAR]]*100</f>
        <v>91.600000000000009</v>
      </c>
      <c r="L5" s="5">
        <v>215.013350621884</v>
      </c>
      <c r="M5" s="5">
        <v>0.57099999999999995</v>
      </c>
      <c r="N5" s="5">
        <v>0.598799999999997</v>
      </c>
      <c r="O5" s="5">
        <v>0.415833333333335</v>
      </c>
      <c r="P5" s="5">
        <v>0.41099999999999998</v>
      </c>
      <c r="Q5" s="6">
        <f>(1-Append2[[#This Row],[FixedAvgisMalicious]])</f>
        <v>0.58899999999999997</v>
      </c>
      <c r="R5" s="6">
        <v>275.38324053935099</v>
      </c>
    </row>
    <row r="6" spans="1:18" s="34" customFormat="1" x14ac:dyDescent="0.35">
      <c r="A6" s="42"/>
      <c r="B6" s="4">
        <v>50</v>
      </c>
      <c r="C6" s="5">
        <v>0.84099999999999997</v>
      </c>
      <c r="D6" s="5">
        <f>Append2[[#This Row],[DynamicAvgSuccessRate]]*100</f>
        <v>84.1</v>
      </c>
      <c r="E6" s="5">
        <f>Append2[[#This Row],[DynamicAvgSuccessRate]]/(Append2[[#This Row],[DynamicAvgSuccessRate]]+Append2[[#This Row],[DynamicAvgisMalicious]])*100</f>
        <v>86.522633744855966</v>
      </c>
      <c r="F6" s="5">
        <v>0.57608333333333295</v>
      </c>
      <c r="G6" s="5">
        <v>0.61380769230769505</v>
      </c>
      <c r="H6" s="5">
        <v>0.13100000000000001</v>
      </c>
      <c r="I6" s="5">
        <f>Append2[[#This Row],[DynamicAvgisMalicious]]*100</f>
        <v>13.100000000000001</v>
      </c>
      <c r="J6" s="5">
        <f>(1-Append2[[#This Row],[DynamicAvgisMalicious]])</f>
        <v>0.86899999999999999</v>
      </c>
      <c r="K6" s="5">
        <f>Append2[[#This Row],[DynamicMAR]]*100</f>
        <v>86.9</v>
      </c>
      <c r="L6" s="5">
        <v>223.36689574695501</v>
      </c>
      <c r="M6" s="5">
        <v>0.45</v>
      </c>
      <c r="N6" s="5">
        <v>0.598799999999997</v>
      </c>
      <c r="O6" s="5">
        <v>0.415833333333335</v>
      </c>
      <c r="P6" s="5">
        <v>0.53900000000000003</v>
      </c>
      <c r="Q6" s="6">
        <f>(1-Append2[[#This Row],[FixedAvgisMalicious]])</f>
        <v>0.46099999999999997</v>
      </c>
      <c r="R6" s="6">
        <v>298.63138079469599</v>
      </c>
    </row>
    <row r="7" spans="1:18" s="10" customFormat="1" x14ac:dyDescent="0.35">
      <c r="A7" s="43" t="s">
        <v>12</v>
      </c>
      <c r="B7" s="7">
        <v>10</v>
      </c>
      <c r="C7" s="8">
        <v>0.96599999999999997</v>
      </c>
      <c r="D7" s="8">
        <f>Append2[[#This Row],[DynamicAvgSuccessRate]]*100</f>
        <v>96.6</v>
      </c>
      <c r="E7" s="8">
        <f>Append2[[#This Row],[DynamicAvgSuccessRate]]/(Append2[[#This Row],[DynamicAvgSuccessRate]]+Append2[[#This Row],[DynamicAvgisMalicious]])*100</f>
        <v>99.382716049382708</v>
      </c>
      <c r="F7" s="8">
        <v>0.57074999999999898</v>
      </c>
      <c r="G7" s="8">
        <v>0.61490617715618001</v>
      </c>
      <c r="H7" s="8">
        <v>6.0000000000000001E-3</v>
      </c>
      <c r="I7" s="8">
        <f>Append2[[#This Row],[DynamicAvgisMalicious]]*100</f>
        <v>0.6</v>
      </c>
      <c r="J7" s="8">
        <f>(1-Append2[[#This Row],[DynamicAvgisMalicious]])</f>
        <v>0.99399999999999999</v>
      </c>
      <c r="K7" s="8">
        <f>Append2[[#This Row],[DynamicMAR]]*100</f>
        <v>99.4</v>
      </c>
      <c r="L7" s="8">
        <v>200.196231752145</v>
      </c>
      <c r="M7" s="8">
        <v>0.85799999999999998</v>
      </c>
      <c r="N7" s="8">
        <v>0.598799999999997</v>
      </c>
      <c r="O7" s="8">
        <v>0.415833333333335</v>
      </c>
      <c r="P7" s="8">
        <v>0.115</v>
      </c>
      <c r="Q7" s="9">
        <f>(1-Append2[[#This Row],[FixedAvgisMalicious]])</f>
        <v>0.88500000000000001</v>
      </c>
      <c r="R7" s="9">
        <v>221.58102576170501</v>
      </c>
    </row>
    <row r="8" spans="1:18" s="10" customFormat="1" x14ac:dyDescent="0.35">
      <c r="A8" s="43"/>
      <c r="B8" s="7">
        <v>20</v>
      </c>
      <c r="C8" s="8">
        <v>0.96499999999999997</v>
      </c>
      <c r="D8" s="8">
        <f>Append2[[#This Row],[DynamicAvgSuccessRate]]*100</f>
        <v>96.5</v>
      </c>
      <c r="E8" s="8">
        <f>Append2[[#This Row],[DynamicAvgSuccessRate]]/(Append2[[#This Row],[DynamicAvgSuccessRate]]+Append2[[#This Row],[DynamicAvgisMalicious]])*100</f>
        <v>99.279835390946502</v>
      </c>
      <c r="F8" s="8">
        <v>0.57074999999999898</v>
      </c>
      <c r="G8" s="8">
        <v>0.61508799533799796</v>
      </c>
      <c r="H8" s="8">
        <v>7.0000000000000001E-3</v>
      </c>
      <c r="I8" s="8">
        <f>Append2[[#This Row],[DynamicAvgisMalicious]]*100</f>
        <v>0.70000000000000007</v>
      </c>
      <c r="J8" s="8">
        <f>(1-Append2[[#This Row],[DynamicAvgisMalicious]])</f>
        <v>0.99299999999999999</v>
      </c>
      <c r="K8" s="8">
        <f>Append2[[#This Row],[DynamicMAR]]*100</f>
        <v>99.3</v>
      </c>
      <c r="L8" s="8">
        <v>200.488502471186</v>
      </c>
      <c r="M8" s="8">
        <v>0.77600000000000002</v>
      </c>
      <c r="N8" s="8">
        <v>0.598799999999997</v>
      </c>
      <c r="O8" s="8">
        <v>0.415833333333335</v>
      </c>
      <c r="P8" s="8">
        <v>0.19700000000000001</v>
      </c>
      <c r="Q8" s="9">
        <f>(1-Append2[[#This Row],[FixedAvgisMalicious]])</f>
        <v>0.80299999999999994</v>
      </c>
      <c r="R8" s="9">
        <v>236.54665846594</v>
      </c>
    </row>
    <row r="9" spans="1:18" s="10" customFormat="1" x14ac:dyDescent="0.35">
      <c r="A9" s="43"/>
      <c r="B9" s="7">
        <v>30</v>
      </c>
      <c r="C9" s="8">
        <v>0.95699999999999996</v>
      </c>
      <c r="D9" s="8">
        <f>Append2[[#This Row],[DynamicAvgSuccessRate]]*100</f>
        <v>95.7</v>
      </c>
      <c r="E9" s="8">
        <f>Append2[[#This Row],[DynamicAvgSuccessRate]]/(Append2[[#This Row],[DynamicAvgSuccessRate]]+Append2[[#This Row],[DynamicAvgisMalicious]])*100</f>
        <v>98.456790123456784</v>
      </c>
      <c r="F9" s="8">
        <v>0.57074999999999898</v>
      </c>
      <c r="G9" s="8">
        <v>0.61517191142191396</v>
      </c>
      <c r="H9" s="8">
        <v>1.4999999999999999E-2</v>
      </c>
      <c r="I9" s="8">
        <f>Append2[[#This Row],[DynamicAvgisMalicious]]*100</f>
        <v>1.5</v>
      </c>
      <c r="J9" s="8">
        <f>(1-Append2[[#This Row],[DynamicAvgisMalicious]])</f>
        <v>0.98499999999999999</v>
      </c>
      <c r="K9" s="8">
        <f>Append2[[#This Row],[DynamicMAR]]*100</f>
        <v>98.5</v>
      </c>
      <c r="L9" s="8">
        <v>202.00831332118801</v>
      </c>
      <c r="M9" s="8">
        <v>0.68799999999999994</v>
      </c>
      <c r="N9" s="8">
        <v>0.598799999999997</v>
      </c>
      <c r="O9" s="8">
        <v>0.415833333333335</v>
      </c>
      <c r="P9" s="8">
        <v>0.29199999999999998</v>
      </c>
      <c r="Q9" s="9">
        <f>(1-Append2[[#This Row],[FixedAvgisMalicious]])</f>
        <v>0.70799999999999996</v>
      </c>
      <c r="R9" s="9">
        <v>252.6599218483</v>
      </c>
    </row>
    <row r="10" spans="1:18" s="10" customFormat="1" x14ac:dyDescent="0.35">
      <c r="A10" s="43"/>
      <c r="B10" s="7">
        <v>40</v>
      </c>
      <c r="C10" s="8">
        <v>0.93</v>
      </c>
      <c r="D10" s="8">
        <f>Append2[[#This Row],[DynamicAvgSuccessRate]]*100</f>
        <v>93</v>
      </c>
      <c r="E10" s="8">
        <f>Append2[[#This Row],[DynamicAvgSuccessRate]]/(Append2[[#This Row],[DynamicAvgSuccessRate]]+Append2[[#This Row],[DynamicAvgisMalicious]])*100</f>
        <v>95.679012345678998</v>
      </c>
      <c r="F10" s="8">
        <v>0.57074999999999898</v>
      </c>
      <c r="G10" s="8">
        <v>0.61433275058275305</v>
      </c>
      <c r="H10" s="8">
        <v>4.2000000000000003E-2</v>
      </c>
      <c r="I10" s="8">
        <f>Append2[[#This Row],[DynamicAvgisMalicious]]*100</f>
        <v>4.2</v>
      </c>
      <c r="J10" s="8">
        <f>(1-Append2[[#This Row],[DynamicAvgisMalicious]])</f>
        <v>0.95799999999999996</v>
      </c>
      <c r="K10" s="8">
        <f>Append2[[#This Row],[DynamicMAR]]*100</f>
        <v>95.8</v>
      </c>
      <c r="L10" s="8">
        <v>207.49244546542499</v>
      </c>
      <c r="M10" s="8">
        <v>0.57099999999999995</v>
      </c>
      <c r="N10" s="8">
        <v>0.598799999999997</v>
      </c>
      <c r="O10" s="8">
        <v>0.415833333333335</v>
      </c>
      <c r="P10" s="8">
        <v>0.41099999999999998</v>
      </c>
      <c r="Q10" s="9">
        <f>(1-Append2[[#This Row],[FixedAvgisMalicious]])</f>
        <v>0.58899999999999997</v>
      </c>
      <c r="R10" s="9">
        <v>275.38324053935099</v>
      </c>
    </row>
    <row r="11" spans="1:18" s="10" customFormat="1" x14ac:dyDescent="0.35">
      <c r="A11" s="43"/>
      <c r="B11" s="7">
        <v>50</v>
      </c>
      <c r="C11" s="8">
        <v>0.88800000000000001</v>
      </c>
      <c r="D11" s="8">
        <f>Append2[[#This Row],[DynamicAvgSuccessRate]]*100</f>
        <v>88.8</v>
      </c>
      <c r="E11" s="8">
        <f>Append2[[#This Row],[DynamicAvgSuccessRate]]/(Append2[[#This Row],[DynamicAvgSuccessRate]]+Append2[[#This Row],[DynamicAvgisMalicious]])*100</f>
        <v>91.358024691358025</v>
      </c>
      <c r="F11" s="8">
        <v>0.57074999999999898</v>
      </c>
      <c r="G11" s="8">
        <v>0.61164743589743897</v>
      </c>
      <c r="H11" s="8">
        <v>8.4000000000000005E-2</v>
      </c>
      <c r="I11" s="8">
        <f>Append2[[#This Row],[DynamicAvgisMalicious]]*100</f>
        <v>8.4</v>
      </c>
      <c r="J11" s="8">
        <f>(1-Append2[[#This Row],[DynamicAvgisMalicious]])</f>
        <v>0.91600000000000004</v>
      </c>
      <c r="K11" s="8">
        <f>Append2[[#This Row],[DynamicMAR]]*100</f>
        <v>91.600000000000009</v>
      </c>
      <c r="L11" s="8">
        <v>214.97343718020599</v>
      </c>
      <c r="M11" s="8">
        <v>0.45</v>
      </c>
      <c r="N11" s="8">
        <v>0.598799999999997</v>
      </c>
      <c r="O11" s="8">
        <v>0.415833333333335</v>
      </c>
      <c r="P11" s="8">
        <v>0.53900000000000003</v>
      </c>
      <c r="Q11" s="9">
        <f>(1-Append2[[#This Row],[FixedAvgisMalicious]])</f>
        <v>0.46099999999999997</v>
      </c>
      <c r="R11" s="9">
        <v>298.63138079469599</v>
      </c>
    </row>
    <row r="12" spans="1:18" s="14" customFormat="1" x14ac:dyDescent="0.35">
      <c r="A12" s="44" t="s">
        <v>13</v>
      </c>
      <c r="B12" s="11">
        <v>10</v>
      </c>
      <c r="C12" s="12">
        <v>0.96399999999999997</v>
      </c>
      <c r="D12" s="12">
        <f>Append2[[#This Row],[DynamicAvgSuccessRate]]*100</f>
        <v>96.399999999999991</v>
      </c>
      <c r="E12" s="12">
        <f>Append2[[#This Row],[DynamicAvgSuccessRate]]/(Append2[[#This Row],[DynamicAvgSuccessRate]]+Append2[[#This Row],[DynamicAvgisMalicious]])*100</f>
        <v>99.176954732510296</v>
      </c>
      <c r="F12" s="12">
        <v>0.56749999999999901</v>
      </c>
      <c r="G12" s="12">
        <v>0.60665501165501401</v>
      </c>
      <c r="H12" s="12">
        <v>8.0000000000000002E-3</v>
      </c>
      <c r="I12" s="12">
        <f>Append2[[#This Row],[DynamicAvgisMalicious]]*100</f>
        <v>0.8</v>
      </c>
      <c r="J12" s="12">
        <f>(1-Append2[[#This Row],[DynamicAvgisMalicious]])</f>
        <v>0.99199999999999999</v>
      </c>
      <c r="K12" s="12">
        <f>Append2[[#This Row],[DynamicMAR]]*100</f>
        <v>99.2</v>
      </c>
      <c r="L12" s="12">
        <v>200.582763858524</v>
      </c>
      <c r="M12" s="12">
        <v>0.85799999999999998</v>
      </c>
      <c r="N12" s="12">
        <v>0.598799999999997</v>
      </c>
      <c r="O12" s="12">
        <v>0.415833333333335</v>
      </c>
      <c r="P12" s="12">
        <v>0.115</v>
      </c>
      <c r="Q12" s="13">
        <f>(1-Append2[[#This Row],[FixedAvgisMalicious]])</f>
        <v>0.88500000000000001</v>
      </c>
      <c r="R12" s="13">
        <v>221.58102576170501</v>
      </c>
    </row>
    <row r="13" spans="1:18" s="14" customFormat="1" x14ac:dyDescent="0.35">
      <c r="A13" s="44"/>
      <c r="B13" s="11">
        <v>20</v>
      </c>
      <c r="C13" s="12">
        <v>0.96399999999999997</v>
      </c>
      <c r="D13" s="12">
        <f>Append2[[#This Row],[DynamicAvgSuccessRate]]*100</f>
        <v>96.399999999999991</v>
      </c>
      <c r="E13" s="12">
        <f>Append2[[#This Row],[DynamicAvgSuccessRate]]/(Append2[[#This Row],[DynamicAvgSuccessRate]]+Append2[[#This Row],[DynamicAvgisMalicious]])*100</f>
        <v>99.176954732510296</v>
      </c>
      <c r="F13" s="12">
        <v>0.56749999999999901</v>
      </c>
      <c r="G13" s="12">
        <v>0.60665501165501401</v>
      </c>
      <c r="H13" s="12">
        <v>8.0000000000000002E-3</v>
      </c>
      <c r="I13" s="12">
        <f>Append2[[#This Row],[DynamicAvgisMalicious]]*100</f>
        <v>0.8</v>
      </c>
      <c r="J13" s="12">
        <f>(1-Append2[[#This Row],[DynamicAvgisMalicious]])</f>
        <v>0.99199999999999999</v>
      </c>
      <c r="K13" s="12">
        <f>Append2[[#This Row],[DynamicMAR]]*100</f>
        <v>99.2</v>
      </c>
      <c r="L13" s="12">
        <v>200.582763858524</v>
      </c>
      <c r="M13" s="12">
        <v>0.77600000000000002</v>
      </c>
      <c r="N13" s="12">
        <v>0.598799999999997</v>
      </c>
      <c r="O13" s="12">
        <v>0.415833333333335</v>
      </c>
      <c r="P13" s="12">
        <v>0.19700000000000001</v>
      </c>
      <c r="Q13" s="13">
        <f>(1-Append2[[#This Row],[FixedAvgisMalicious]])</f>
        <v>0.80299999999999994</v>
      </c>
      <c r="R13" s="13">
        <v>236.54665846594</v>
      </c>
    </row>
    <row r="14" spans="1:18" s="14" customFormat="1" x14ac:dyDescent="0.35">
      <c r="A14" s="44"/>
      <c r="B14" s="11">
        <v>30</v>
      </c>
      <c r="C14" s="12">
        <v>0.95599999999999996</v>
      </c>
      <c r="D14" s="12">
        <f>Append2[[#This Row],[DynamicAvgSuccessRate]]*100</f>
        <v>95.6</v>
      </c>
      <c r="E14" s="12">
        <f>Append2[[#This Row],[DynamicAvgSuccessRate]]/(Append2[[#This Row],[DynamicAvgSuccessRate]]+Append2[[#This Row],[DynamicAvgisMalicious]])*100</f>
        <v>98.353909465020578</v>
      </c>
      <c r="F14" s="12">
        <v>0.56749999999999901</v>
      </c>
      <c r="G14" s="12">
        <v>0.60792773892774199</v>
      </c>
      <c r="H14" s="12">
        <v>1.6E-2</v>
      </c>
      <c r="I14" s="12">
        <f>Append2[[#This Row],[DynamicAvgisMalicious]]*100</f>
        <v>1.6</v>
      </c>
      <c r="J14" s="12">
        <f>(1-Append2[[#This Row],[DynamicAvgisMalicious]])</f>
        <v>0.98399999999999999</v>
      </c>
      <c r="K14" s="12">
        <f>Append2[[#This Row],[DynamicMAR]]*100</f>
        <v>98.4</v>
      </c>
      <c r="L14" s="12">
        <v>202.228900172745</v>
      </c>
      <c r="M14" s="12">
        <v>0.68799999999999994</v>
      </c>
      <c r="N14" s="12">
        <v>0.598799999999997</v>
      </c>
      <c r="O14" s="12">
        <v>0.415833333333335</v>
      </c>
      <c r="P14" s="12">
        <v>0.29199999999999998</v>
      </c>
      <c r="Q14" s="13">
        <f>(1-Append2[[#This Row],[FixedAvgisMalicious]])</f>
        <v>0.70799999999999996</v>
      </c>
      <c r="R14" s="13">
        <v>252.6599218483</v>
      </c>
    </row>
    <row r="15" spans="1:18" s="14" customFormat="1" x14ac:dyDescent="0.35">
      <c r="A15" s="44"/>
      <c r="B15" s="11">
        <v>40</v>
      </c>
      <c r="C15" s="12">
        <v>0.93500000000000005</v>
      </c>
      <c r="D15" s="12">
        <f>Append2[[#This Row],[DynamicAvgSuccessRate]]*100</f>
        <v>93.5</v>
      </c>
      <c r="E15" s="12">
        <f>Append2[[#This Row],[DynamicAvgSuccessRate]]/(Append2[[#This Row],[DynamicAvgSuccessRate]]+Append2[[#This Row],[DynamicAvgisMalicious]])*100</f>
        <v>96.193415637860085</v>
      </c>
      <c r="F15" s="12">
        <v>0.56749999999999901</v>
      </c>
      <c r="G15" s="12">
        <v>0.60803962703962999</v>
      </c>
      <c r="H15" s="12">
        <v>3.6999999999999998E-2</v>
      </c>
      <c r="I15" s="12">
        <f>Append2[[#This Row],[DynamicAvgisMalicious]]*100</f>
        <v>3.6999999999999997</v>
      </c>
      <c r="J15" s="12">
        <f>(1-Append2[[#This Row],[DynamicAvgisMalicious]])</f>
        <v>0.96299999999999997</v>
      </c>
      <c r="K15" s="12">
        <f>Append2[[#This Row],[DynamicMAR]]*100</f>
        <v>96.3</v>
      </c>
      <c r="L15" s="12">
        <v>206.123141764335</v>
      </c>
      <c r="M15" s="12">
        <v>0.57099999999999995</v>
      </c>
      <c r="N15" s="12">
        <v>0.598799999999997</v>
      </c>
      <c r="O15" s="12">
        <v>0.415833333333335</v>
      </c>
      <c r="P15" s="12">
        <v>0.41099999999999998</v>
      </c>
      <c r="Q15" s="13">
        <f>(1-Append2[[#This Row],[FixedAvgisMalicious]])</f>
        <v>0.58899999999999997</v>
      </c>
      <c r="R15" s="13">
        <v>275.38324053935099</v>
      </c>
    </row>
    <row r="16" spans="1:18" s="14" customFormat="1" x14ac:dyDescent="0.35">
      <c r="A16" s="44"/>
      <c r="B16" s="11">
        <v>50</v>
      </c>
      <c r="C16" s="12">
        <v>0.90500000000000003</v>
      </c>
      <c r="D16" s="12">
        <f>Append2[[#This Row],[DynamicAvgSuccessRate]]*100</f>
        <v>90.5</v>
      </c>
      <c r="E16" s="12">
        <f>Append2[[#This Row],[DynamicAvgSuccessRate]]/(Append2[[#This Row],[DynamicAvgSuccessRate]]+Append2[[#This Row],[DynamicAvgisMalicious]])*100</f>
        <v>93.106995884773667</v>
      </c>
      <c r="F16" s="12">
        <v>0.56749999999999901</v>
      </c>
      <c r="G16" s="12">
        <v>0.60689277389277696</v>
      </c>
      <c r="H16" s="12">
        <v>6.7000000000000004E-2</v>
      </c>
      <c r="I16" s="12">
        <f>Append2[[#This Row],[DynamicAvgisMalicious]]*100</f>
        <v>6.7</v>
      </c>
      <c r="J16" s="12">
        <f>(1-Append2[[#This Row],[DynamicAvgisMalicious]])</f>
        <v>0.93300000000000005</v>
      </c>
      <c r="K16" s="12">
        <f>Append2[[#This Row],[DynamicMAR]]*100</f>
        <v>93.300000000000011</v>
      </c>
      <c r="L16" s="12">
        <v>211.78332586729601</v>
      </c>
      <c r="M16" s="12">
        <v>0.45</v>
      </c>
      <c r="N16" s="12">
        <v>0.598799999999997</v>
      </c>
      <c r="O16" s="12">
        <v>0.415833333333335</v>
      </c>
      <c r="P16" s="12">
        <v>0.53900000000000003</v>
      </c>
      <c r="Q16" s="13">
        <f>(1-Append2[[#This Row],[FixedAvgisMalicious]])</f>
        <v>0.46099999999999997</v>
      </c>
      <c r="R16" s="13">
        <v>298.63138079469599</v>
      </c>
    </row>
    <row r="17" spans="1:18" s="18" customFormat="1" x14ac:dyDescent="0.35">
      <c r="A17" s="45" t="s">
        <v>14</v>
      </c>
      <c r="B17" s="15">
        <v>10</v>
      </c>
      <c r="C17" s="16">
        <v>0.96499999999999997</v>
      </c>
      <c r="D17" s="16">
        <f>Append2[[#This Row],[DynamicAvgSuccessRate]]*100</f>
        <v>96.5</v>
      </c>
      <c r="E17" s="16">
        <f>Append2[[#This Row],[DynamicAvgSuccessRate]]/(Append2[[#This Row],[DynamicAvgSuccessRate]]+Append2[[#This Row],[DynamicAvgisMalicious]])*100</f>
        <v>99.279835390946502</v>
      </c>
      <c r="F17" s="16">
        <v>0.56824999999999903</v>
      </c>
      <c r="G17" s="16">
        <v>0.60666317016317295</v>
      </c>
      <c r="H17" s="16">
        <v>7.0000000000000001E-3</v>
      </c>
      <c r="I17" s="16">
        <f>Append2[[#This Row],[DynamicAvgisMalicious]]*100</f>
        <v>0.70000000000000007</v>
      </c>
      <c r="J17" s="16">
        <f>(1-Append2[[#This Row],[DynamicAvgisMalicious]])</f>
        <v>0.99299999999999999</v>
      </c>
      <c r="K17" s="16">
        <f>Append2[[#This Row],[DynamicMAR]]*100</f>
        <v>99.3</v>
      </c>
      <c r="L17" s="16">
        <v>200.26032563853701</v>
      </c>
      <c r="M17" s="16">
        <v>0.85799999999999998</v>
      </c>
      <c r="N17" s="16">
        <v>0.598799999999997</v>
      </c>
      <c r="O17" s="16">
        <v>0.415833333333335</v>
      </c>
      <c r="P17" s="16">
        <v>0.115</v>
      </c>
      <c r="Q17" s="17">
        <f>(1-Append2[[#This Row],[FixedAvgisMalicious]])</f>
        <v>0.88500000000000001</v>
      </c>
      <c r="R17" s="17">
        <v>221.58102576170501</v>
      </c>
    </row>
    <row r="18" spans="1:18" s="18" customFormat="1" x14ac:dyDescent="0.35">
      <c r="A18" s="45"/>
      <c r="B18" s="15">
        <v>20</v>
      </c>
      <c r="C18" s="16">
        <v>0.96399999999999997</v>
      </c>
      <c r="D18" s="16">
        <f>Append2[[#This Row],[DynamicAvgSuccessRate]]*100</f>
        <v>96.399999999999991</v>
      </c>
      <c r="E18" s="16">
        <f>Append2[[#This Row],[DynamicAvgSuccessRate]]/(Append2[[#This Row],[DynamicAvgSuccessRate]]+Append2[[#This Row],[DynamicAvgisMalicious]])*100</f>
        <v>99.176954732510296</v>
      </c>
      <c r="F18" s="16">
        <v>0.56824999999999903</v>
      </c>
      <c r="G18" s="16">
        <v>0.60684498834499101</v>
      </c>
      <c r="H18" s="16">
        <v>8.0000000000000002E-3</v>
      </c>
      <c r="I18" s="16">
        <f>Append2[[#This Row],[DynamicAvgisMalicious]]*100</f>
        <v>0.8</v>
      </c>
      <c r="J18" s="16">
        <f>(1-Append2[[#This Row],[DynamicAvgisMalicious]])</f>
        <v>0.99199999999999999</v>
      </c>
      <c r="K18" s="16">
        <f>Append2[[#This Row],[DynamicMAR]]*100</f>
        <v>99.2</v>
      </c>
      <c r="L18" s="16">
        <v>200.55259635757901</v>
      </c>
      <c r="M18" s="16">
        <v>0.77600000000000002</v>
      </c>
      <c r="N18" s="16">
        <v>0.598799999999997</v>
      </c>
      <c r="O18" s="16">
        <v>0.415833333333335</v>
      </c>
      <c r="P18" s="16">
        <v>0.19700000000000001</v>
      </c>
      <c r="Q18" s="17">
        <f>(1-Append2[[#This Row],[FixedAvgisMalicious]])</f>
        <v>0.80299999999999994</v>
      </c>
      <c r="R18" s="17">
        <v>236.54665846594</v>
      </c>
    </row>
    <row r="19" spans="1:18" s="18" customFormat="1" x14ac:dyDescent="0.35">
      <c r="A19" s="45"/>
      <c r="B19" s="15">
        <v>30</v>
      </c>
      <c r="C19" s="16">
        <v>0.95699999999999996</v>
      </c>
      <c r="D19" s="16">
        <f>Append2[[#This Row],[DynamicAvgSuccessRate]]*100</f>
        <v>95.7</v>
      </c>
      <c r="E19" s="16">
        <f>Append2[[#This Row],[DynamicAvgSuccessRate]]/(Append2[[#This Row],[DynamicAvgSuccessRate]]+Append2[[#This Row],[DynamicAvgisMalicious]])*100</f>
        <v>98.456790123456784</v>
      </c>
      <c r="F19" s="16">
        <v>0.56824999999999903</v>
      </c>
      <c r="G19" s="16">
        <v>0.60687296037296301</v>
      </c>
      <c r="H19" s="16">
        <v>1.4999999999999999E-2</v>
      </c>
      <c r="I19" s="16">
        <f>Append2[[#This Row],[DynamicAvgisMalicious]]*100</f>
        <v>1.5</v>
      </c>
      <c r="J19" s="16">
        <f>(1-Append2[[#This Row],[DynamicAvgisMalicious]])</f>
        <v>0.98499999999999999</v>
      </c>
      <c r="K19" s="16">
        <f>Append2[[#This Row],[DynamicMAR]]*100</f>
        <v>98.5</v>
      </c>
      <c r="L19" s="16">
        <v>201.98178349554101</v>
      </c>
      <c r="M19" s="16">
        <v>0.68799999999999994</v>
      </c>
      <c r="N19" s="16">
        <v>0.598799999999997</v>
      </c>
      <c r="O19" s="16">
        <v>0.415833333333335</v>
      </c>
      <c r="P19" s="16">
        <v>0.29199999999999998</v>
      </c>
      <c r="Q19" s="17">
        <f>(1-Append2[[#This Row],[FixedAvgisMalicious]])</f>
        <v>0.70799999999999996</v>
      </c>
      <c r="R19" s="17">
        <v>252.6599218483</v>
      </c>
    </row>
    <row r="20" spans="1:18" s="18" customFormat="1" x14ac:dyDescent="0.35">
      <c r="A20" s="45"/>
      <c r="B20" s="15">
        <v>40</v>
      </c>
      <c r="C20" s="16">
        <v>0.92500000000000004</v>
      </c>
      <c r="D20" s="16">
        <f>Append2[[#This Row],[DynamicAvgSuccessRate]]*100</f>
        <v>92.5</v>
      </c>
      <c r="E20" s="16">
        <f>Append2[[#This Row],[DynamicAvgSuccessRate]]/(Append2[[#This Row],[DynamicAvgSuccessRate]]+Append2[[#This Row],[DynamicAvgisMalicious]])*100</f>
        <v>95.164609053497941</v>
      </c>
      <c r="F20" s="16">
        <v>0.56824999999999903</v>
      </c>
      <c r="G20" s="16">
        <v>0.60649533799534106</v>
      </c>
      <c r="H20" s="16">
        <v>4.7E-2</v>
      </c>
      <c r="I20" s="16">
        <f>Append2[[#This Row],[DynamicAvgisMalicious]]*100</f>
        <v>4.7</v>
      </c>
      <c r="J20" s="16">
        <f>(1-Append2[[#This Row],[DynamicAvgisMalicious]])</f>
        <v>0.95299999999999996</v>
      </c>
      <c r="K20" s="16">
        <f>Append2[[#This Row],[DynamicMAR]]*100</f>
        <v>95.3</v>
      </c>
      <c r="L20" s="16">
        <v>207.77502840082099</v>
      </c>
      <c r="M20" s="16">
        <v>0.57099999999999995</v>
      </c>
      <c r="N20" s="16">
        <v>0.598799999999997</v>
      </c>
      <c r="O20" s="16">
        <v>0.415833333333335</v>
      </c>
      <c r="P20" s="16">
        <v>0.41099999999999998</v>
      </c>
      <c r="Q20" s="17">
        <f>(1-Append2[[#This Row],[FixedAvgisMalicious]])</f>
        <v>0.58899999999999997</v>
      </c>
      <c r="R20" s="17">
        <v>275.38324053935099</v>
      </c>
    </row>
    <row r="21" spans="1:18" s="18" customFormat="1" x14ac:dyDescent="0.35">
      <c r="A21" s="45"/>
      <c r="B21" s="15">
        <v>50</v>
      </c>
      <c r="C21" s="16">
        <v>0.88</v>
      </c>
      <c r="D21" s="16">
        <f>Append2[[#This Row],[DynamicAvgSuccessRate]]*100</f>
        <v>88</v>
      </c>
      <c r="E21" s="16">
        <f>Append2[[#This Row],[DynamicAvgSuccessRate]]/(Append2[[#This Row],[DynamicAvgSuccessRate]]+Append2[[#This Row],[DynamicAvgisMalicious]])*100</f>
        <v>90.534979423868307</v>
      </c>
      <c r="F21" s="16">
        <v>0.56824999999999903</v>
      </c>
      <c r="G21" s="16">
        <v>0.60424358974359205</v>
      </c>
      <c r="H21" s="16">
        <v>9.1999999999999998E-2</v>
      </c>
      <c r="I21" s="16">
        <f>Append2[[#This Row],[DynamicAvgisMalicious]]*100</f>
        <v>9.1999999999999993</v>
      </c>
      <c r="J21" s="16">
        <f>(1-Append2[[#This Row],[DynamicAvgisMalicious]])</f>
        <v>0.90800000000000003</v>
      </c>
      <c r="K21" s="16">
        <f>Append2[[#This Row],[DynamicMAR]]*100</f>
        <v>90.8</v>
      </c>
      <c r="L21" s="16">
        <v>216.22597719011901</v>
      </c>
      <c r="M21" s="16">
        <v>0.45</v>
      </c>
      <c r="N21" s="16">
        <v>0.598799999999997</v>
      </c>
      <c r="O21" s="16">
        <v>0.415833333333335</v>
      </c>
      <c r="P21" s="16">
        <v>0.53900000000000003</v>
      </c>
      <c r="Q21" s="17">
        <f>(1-Append2[[#This Row],[FixedAvgisMalicious]])</f>
        <v>0.46099999999999997</v>
      </c>
      <c r="R21" s="17">
        <v>298.63138079469599</v>
      </c>
    </row>
    <row r="22" spans="1:18" s="22" customFormat="1" x14ac:dyDescent="0.35">
      <c r="A22" s="46" t="s">
        <v>17</v>
      </c>
      <c r="B22" s="19">
        <v>10</v>
      </c>
      <c r="C22" s="20">
        <v>0.96399999999999997</v>
      </c>
      <c r="D22" s="20">
        <f>Append2[[#This Row],[DynamicAvgSuccessRate]]*100</f>
        <v>96.399999999999991</v>
      </c>
      <c r="E22" s="20">
        <f>Append2[[#This Row],[DynamicAvgSuccessRate]]/(Append2[[#This Row],[DynamicAvgSuccessRate]]+Append2[[#This Row],[DynamicAvgisMalicious]])*100</f>
        <v>99.586776859504127</v>
      </c>
      <c r="F22" s="20">
        <v>0.56899999999999895</v>
      </c>
      <c r="G22" s="20">
        <v>0.61262354312354605</v>
      </c>
      <c r="H22" s="20">
        <v>4.0000000000000001E-3</v>
      </c>
      <c r="I22" s="20">
        <f>Append2[[#This Row],[DynamicAvgisMalicious]]*100</f>
        <v>0.4</v>
      </c>
      <c r="J22" s="20">
        <f>(1-Append2[[#This Row],[DynamicAvgisMalicious]])</f>
        <v>0.996</v>
      </c>
      <c r="K22" s="20">
        <f>Append2[[#This Row],[DynamicMAR]]*100</f>
        <v>99.6</v>
      </c>
      <c r="L22" s="20">
        <v>200.24474997206599</v>
      </c>
      <c r="M22" s="20">
        <v>0.85299999999999998</v>
      </c>
      <c r="N22" s="20">
        <v>0.59639999999999704</v>
      </c>
      <c r="O22" s="20">
        <v>0.41416666666666802</v>
      </c>
      <c r="P22" s="20">
        <v>0.121</v>
      </c>
      <c r="Q22" s="21">
        <f>(1-Append2[[#This Row],[FixedAvgisMalicious]])</f>
        <v>0.879</v>
      </c>
      <c r="R22" s="21">
        <v>221.20863182611799</v>
      </c>
    </row>
    <row r="23" spans="1:18" s="22" customFormat="1" x14ac:dyDescent="0.35">
      <c r="A23" s="46"/>
      <c r="B23" s="19">
        <v>20</v>
      </c>
      <c r="C23" s="20">
        <v>0.96199999999999997</v>
      </c>
      <c r="D23" s="20">
        <f>Append2[[#This Row],[DynamicAvgSuccessRate]]*100</f>
        <v>96.2</v>
      </c>
      <c r="E23" s="20">
        <f>Append2[[#This Row],[DynamicAvgSuccessRate]]/(Append2[[#This Row],[DynamicAvgSuccessRate]]+Append2[[#This Row],[DynamicAvgisMalicious]])*100</f>
        <v>99.380165289256198</v>
      </c>
      <c r="F23" s="20">
        <v>0.56899999999999895</v>
      </c>
      <c r="G23" s="20">
        <v>0.61298717948718295</v>
      </c>
      <c r="H23" s="20">
        <v>6.0000000000000001E-3</v>
      </c>
      <c r="I23" s="20">
        <f>Append2[[#This Row],[DynamicAvgisMalicious]]*100</f>
        <v>0.6</v>
      </c>
      <c r="J23" s="20">
        <f>(1-Append2[[#This Row],[DynamicAvgisMalicious]])</f>
        <v>0.99399999999999999</v>
      </c>
      <c r="K23" s="20">
        <f>Append2[[#This Row],[DynamicMAR]]*100</f>
        <v>99.4</v>
      </c>
      <c r="L23" s="20">
        <v>200.78531841846299</v>
      </c>
      <c r="M23" s="20">
        <v>0.76200000000000001</v>
      </c>
      <c r="N23" s="20">
        <v>0.59639999999999704</v>
      </c>
      <c r="O23" s="20">
        <v>0.41416666666666802</v>
      </c>
      <c r="P23" s="20">
        <v>0.215</v>
      </c>
      <c r="Q23" s="21">
        <f>(1-Append2[[#This Row],[FixedAvgisMalicious]])</f>
        <v>0.78500000000000003</v>
      </c>
      <c r="R23" s="21">
        <v>238.04790700691399</v>
      </c>
    </row>
    <row r="24" spans="1:18" s="22" customFormat="1" x14ac:dyDescent="0.35">
      <c r="A24" s="46"/>
      <c r="B24" s="19">
        <v>30</v>
      </c>
      <c r="C24" s="20">
        <v>0.95199999999999996</v>
      </c>
      <c r="D24" s="20">
        <f>Append2[[#This Row],[DynamicAvgSuccessRate]]*100</f>
        <v>95.199999999999989</v>
      </c>
      <c r="E24" s="20">
        <f>Append2[[#This Row],[DynamicAvgSuccessRate]]/(Append2[[#This Row],[DynamicAvgSuccessRate]]+Append2[[#This Row],[DynamicAvgisMalicious]])*100</f>
        <v>98.347107438016522</v>
      </c>
      <c r="F24" s="20">
        <v>0.56899999999999895</v>
      </c>
      <c r="G24" s="20">
        <v>0.61340675990676297</v>
      </c>
      <c r="H24" s="20">
        <v>1.6E-2</v>
      </c>
      <c r="I24" s="20">
        <f>Append2[[#This Row],[DynamicAvgisMalicious]]*100</f>
        <v>1.6</v>
      </c>
      <c r="J24" s="20">
        <f>(1-Append2[[#This Row],[DynamicAvgisMalicious]])</f>
        <v>0.98399999999999999</v>
      </c>
      <c r="K24" s="20">
        <f>Append2[[#This Row],[DynamicMAR]]*100</f>
        <v>98.4</v>
      </c>
      <c r="L24" s="20">
        <v>202.74375792891999</v>
      </c>
      <c r="M24" s="20">
        <v>0.65500000000000003</v>
      </c>
      <c r="N24" s="20">
        <v>0.59639999999999704</v>
      </c>
      <c r="O24" s="20">
        <v>0.41416666666666802</v>
      </c>
      <c r="P24" s="20">
        <v>0.31900000000000001</v>
      </c>
      <c r="Q24" s="21">
        <f>(1-Append2[[#This Row],[FixedAvgisMalicious]])</f>
        <v>0.68100000000000005</v>
      </c>
      <c r="R24" s="21">
        <v>258.57720210059898</v>
      </c>
    </row>
    <row r="25" spans="1:18" s="22" customFormat="1" x14ac:dyDescent="0.35">
      <c r="A25" s="46"/>
      <c r="B25" s="19">
        <v>40</v>
      </c>
      <c r="C25" s="20">
        <v>0.93300000000000005</v>
      </c>
      <c r="D25" s="20">
        <f>Append2[[#This Row],[DynamicAvgSuccessRate]]*100</f>
        <v>93.300000000000011</v>
      </c>
      <c r="E25" s="20">
        <f>Append2[[#This Row],[DynamicAvgSuccessRate]]/(Append2[[#This Row],[DynamicAvgSuccessRate]]+Append2[[#This Row],[DynamicAvgisMalicious]])*100</f>
        <v>96.185567010309285</v>
      </c>
      <c r="F25" s="20">
        <v>0.56899999999999895</v>
      </c>
      <c r="G25" s="20">
        <v>0.61305710955711201</v>
      </c>
      <c r="H25" s="20">
        <v>3.6999999999999998E-2</v>
      </c>
      <c r="I25" s="20">
        <f>Append2[[#This Row],[DynamicAvgisMalicious]]*100</f>
        <v>3.6999999999999997</v>
      </c>
      <c r="J25" s="20">
        <f>(1-Append2[[#This Row],[DynamicAvgisMalicious]])</f>
        <v>0.96299999999999997</v>
      </c>
      <c r="K25" s="20">
        <f>Append2[[#This Row],[DynamicMAR]]*100</f>
        <v>96.3</v>
      </c>
      <c r="L25" s="20">
        <v>206.68625396807101</v>
      </c>
      <c r="M25" s="20">
        <v>0.54400000000000004</v>
      </c>
      <c r="N25" s="20">
        <v>0.59639999999999704</v>
      </c>
      <c r="O25" s="20">
        <v>0.41416666666666802</v>
      </c>
      <c r="P25" s="20">
        <v>0.436</v>
      </c>
      <c r="Q25" s="21">
        <f>(1-Append2[[#This Row],[FixedAvgisMalicious]])</f>
        <v>0.56400000000000006</v>
      </c>
      <c r="R25" s="21">
        <v>279.31271082627802</v>
      </c>
    </row>
    <row r="26" spans="1:18" s="22" customFormat="1" x14ac:dyDescent="0.35">
      <c r="A26" s="46"/>
      <c r="B26" s="19">
        <v>50</v>
      </c>
      <c r="C26" s="20">
        <v>0.89600000000000002</v>
      </c>
      <c r="D26" s="20">
        <f>Append2[[#This Row],[DynamicAvgSuccessRate]]*100</f>
        <v>89.600000000000009</v>
      </c>
      <c r="E26" s="20">
        <f>Append2[[#This Row],[DynamicAvgSuccessRate]]/(Append2[[#This Row],[DynamicAvgSuccessRate]]+Append2[[#This Row],[DynamicAvgisMalicious]])*100</f>
        <v>92.276004119464474</v>
      </c>
      <c r="F26" s="20">
        <v>0.56899999999999895</v>
      </c>
      <c r="G26" s="20">
        <v>0.610805361305364</v>
      </c>
      <c r="H26" s="20">
        <v>7.4999999999999997E-2</v>
      </c>
      <c r="I26" s="20">
        <f>Append2[[#This Row],[DynamicAvgisMalicious]]*100</f>
        <v>7.5</v>
      </c>
      <c r="J26" s="20">
        <f>(1-Append2[[#This Row],[DynamicAvgisMalicious]])</f>
        <v>0.92500000000000004</v>
      </c>
      <c r="K26" s="20">
        <f>Append2[[#This Row],[DynamicMAR]]*100</f>
        <v>92.5</v>
      </c>
      <c r="L26" s="20">
        <v>213.80051764292901</v>
      </c>
      <c r="M26" s="20">
        <v>0.435</v>
      </c>
      <c r="N26" s="20">
        <v>0.59639999999999704</v>
      </c>
      <c r="O26" s="20">
        <v>0.41416666666666802</v>
      </c>
      <c r="P26" s="20">
        <v>0.54700000000000004</v>
      </c>
      <c r="Q26" s="21">
        <f>(1-Append2[[#This Row],[FixedAvgisMalicious]])</f>
        <v>0.45299999999999996</v>
      </c>
      <c r="R26" s="21">
        <v>298.939144294546</v>
      </c>
    </row>
    <row r="27" spans="1:18" s="26" customFormat="1" x14ac:dyDescent="0.35">
      <c r="A27" s="47" t="s">
        <v>15</v>
      </c>
      <c r="B27" s="23">
        <v>10</v>
      </c>
      <c r="C27" s="24">
        <v>0.84099999999999997</v>
      </c>
      <c r="D27" s="24">
        <f>Append2[[#This Row],[DynamicAvgSuccessRate]]*100</f>
        <v>84.1</v>
      </c>
      <c r="E27" s="24">
        <f>Append2[[#This Row],[DynamicAvgSuccessRate]]/(Append2[[#This Row],[DynamicAvgSuccessRate]]+Append2[[#This Row],[DynamicAvgisMalicious]])*100</f>
        <v>85.72884811416921</v>
      </c>
      <c r="F27" s="24">
        <v>0.57608333333333295</v>
      </c>
      <c r="G27" s="24">
        <v>0.48966142191142398</v>
      </c>
      <c r="H27" s="24">
        <v>0.14000000000000001</v>
      </c>
      <c r="I27" s="24">
        <f>Append2[[#This Row],[DynamicAvgisMalicious]]*100</f>
        <v>14.000000000000002</v>
      </c>
      <c r="J27" s="24">
        <f>(1-Append2[[#This Row],[DynamicAvgisMalicious]])</f>
        <v>0.86</v>
      </c>
      <c r="K27" s="24">
        <f>Append2[[#This Row],[DynamicMAR]]*100</f>
        <v>86</v>
      </c>
      <c r="L27" s="24">
        <v>223.64494583104701</v>
      </c>
      <c r="M27" s="24">
        <v>0.86</v>
      </c>
      <c r="N27" s="24">
        <v>0.598799999999997</v>
      </c>
      <c r="O27" s="24">
        <v>0.415833333333335</v>
      </c>
      <c r="P27" s="24">
        <v>0.11600000000000001</v>
      </c>
      <c r="Q27" s="25">
        <f>(1-Append2[[#This Row],[FixedAvgisMalicious]])</f>
        <v>0.88400000000000001</v>
      </c>
      <c r="R27" s="25">
        <v>221.666078864333</v>
      </c>
    </row>
    <row r="28" spans="1:18" s="26" customFormat="1" x14ac:dyDescent="0.35">
      <c r="A28" s="47"/>
      <c r="B28" s="23">
        <v>20</v>
      </c>
      <c r="C28" s="24">
        <v>0.72299999999999998</v>
      </c>
      <c r="D28" s="24">
        <f>Append2[[#This Row],[DynamicAvgSuccessRate]]*100</f>
        <v>72.3</v>
      </c>
      <c r="E28" s="24">
        <f>Append2[[#This Row],[DynamicAvgSuccessRate]]/(Append2[[#This Row],[DynamicAvgSuccessRate]]+Append2[[#This Row],[DynamicAvgisMalicious]])*100</f>
        <v>73.850868232890704</v>
      </c>
      <c r="F28" s="24">
        <v>0.57608333333333295</v>
      </c>
      <c r="G28" s="24">
        <v>0.50227797202797397</v>
      </c>
      <c r="H28" s="24">
        <v>0.25600000000000001</v>
      </c>
      <c r="I28" s="24">
        <f>Append2[[#This Row],[DynamicAvgisMalicious]]*100</f>
        <v>25.6</v>
      </c>
      <c r="J28" s="24">
        <f>(1-Append2[[#This Row],[DynamicAvgisMalicious]])</f>
        <v>0.74399999999999999</v>
      </c>
      <c r="K28" s="24">
        <f>Append2[[#This Row],[DynamicMAR]]*100</f>
        <v>74.400000000000006</v>
      </c>
      <c r="L28" s="24">
        <v>246.52460638312499</v>
      </c>
      <c r="M28" s="24">
        <v>0.753</v>
      </c>
      <c r="N28" s="24">
        <v>0.598799999999997</v>
      </c>
      <c r="O28" s="24">
        <v>0.415833333333335</v>
      </c>
      <c r="P28" s="24">
        <v>0.22700000000000001</v>
      </c>
      <c r="Q28" s="25">
        <f>(1-Append2[[#This Row],[FixedAvgisMalicious]])</f>
        <v>0.77300000000000002</v>
      </c>
      <c r="R28" s="25">
        <v>240.47499957417401</v>
      </c>
    </row>
    <row r="29" spans="1:18" s="26" customFormat="1" x14ac:dyDescent="0.35">
      <c r="A29" s="47"/>
      <c r="B29" s="23">
        <v>30</v>
      </c>
      <c r="C29" s="24">
        <v>0.66600000000000004</v>
      </c>
      <c r="D29" s="24">
        <f>Append2[[#This Row],[DynamicAvgSuccessRate]]*100</f>
        <v>66.600000000000009</v>
      </c>
      <c r="E29" s="24">
        <f>Append2[[#This Row],[DynamicAvgSuccessRate]]/(Append2[[#This Row],[DynamicAvgSuccessRate]]+Append2[[#This Row],[DynamicAvgisMalicious]])*100</f>
        <v>67.88990825688073</v>
      </c>
      <c r="F29" s="24">
        <v>0.57608333333333295</v>
      </c>
      <c r="G29" s="24">
        <v>0.50521969696969904</v>
      </c>
      <c r="H29" s="24">
        <v>0.315</v>
      </c>
      <c r="I29" s="24">
        <f>Append2[[#This Row],[DynamicAvgisMalicious]]*100</f>
        <v>31.5</v>
      </c>
      <c r="J29" s="24">
        <f>(1-Append2[[#This Row],[DynamicAvgisMalicious]])</f>
        <v>0.68500000000000005</v>
      </c>
      <c r="K29" s="24">
        <f>Append2[[#This Row],[DynamicMAR]]*100</f>
        <v>68.5</v>
      </c>
      <c r="L29" s="24">
        <v>257.55659782395099</v>
      </c>
      <c r="M29" s="24">
        <v>0.67100000000000004</v>
      </c>
      <c r="N29" s="24">
        <v>0.598799999999997</v>
      </c>
      <c r="O29" s="24">
        <v>0.415833333333335</v>
      </c>
      <c r="P29" s="24">
        <v>0.309</v>
      </c>
      <c r="Q29" s="25">
        <f>(1-Append2[[#This Row],[FixedAvgisMalicious]])</f>
        <v>0.69100000000000006</v>
      </c>
      <c r="R29" s="25">
        <v>255.80050087497</v>
      </c>
    </row>
    <row r="30" spans="1:18" s="26" customFormat="1" x14ac:dyDescent="0.35">
      <c r="A30" s="47"/>
      <c r="B30" s="23">
        <v>40</v>
      </c>
      <c r="C30" s="24">
        <v>0.624</v>
      </c>
      <c r="D30" s="24">
        <f>Append2[[#This Row],[DynamicAvgSuccessRate]]*100</f>
        <v>62.4</v>
      </c>
      <c r="E30" s="24">
        <f>Append2[[#This Row],[DynamicAvgSuccessRate]]/(Append2[[#This Row],[DynamicAvgSuccessRate]]+Append2[[#This Row],[DynamicAvgisMalicious]])*100</f>
        <v>63.479145473041712</v>
      </c>
      <c r="F30" s="24">
        <v>0.57608333333333295</v>
      </c>
      <c r="G30" s="24">
        <v>0.51048076923077101</v>
      </c>
      <c r="H30" s="24">
        <v>0.35899999999999999</v>
      </c>
      <c r="I30" s="24">
        <f>Append2[[#This Row],[DynamicAvgisMalicious]]*100</f>
        <v>35.9</v>
      </c>
      <c r="J30" s="24">
        <f>(1-Append2[[#This Row],[DynamicAvgisMalicious]])</f>
        <v>0.64100000000000001</v>
      </c>
      <c r="K30" s="24">
        <f>Append2[[#This Row],[DynamicMAR]]*100</f>
        <v>64.099999999999994</v>
      </c>
      <c r="L30" s="24">
        <v>267.61402924329502</v>
      </c>
      <c r="M30" s="24">
        <v>0.6</v>
      </c>
      <c r="N30" s="24">
        <v>0.598799999999997</v>
      </c>
      <c r="O30" s="24">
        <v>0.415833333333335</v>
      </c>
      <c r="P30" s="24">
        <v>0.38400000000000001</v>
      </c>
      <c r="Q30" s="25">
        <f>(1-Append2[[#This Row],[FixedAvgisMalicious]])</f>
        <v>0.61599999999999999</v>
      </c>
      <c r="R30" s="25">
        <v>268.88469126769098</v>
      </c>
    </row>
    <row r="31" spans="1:18" s="26" customFormat="1" x14ac:dyDescent="0.35">
      <c r="A31" s="47"/>
      <c r="B31" s="23">
        <v>50</v>
      </c>
      <c r="C31" s="24">
        <v>0.58899999999999997</v>
      </c>
      <c r="D31" s="24">
        <f>Append2[[#This Row],[DynamicAvgSuccessRate]]*100</f>
        <v>58.9</v>
      </c>
      <c r="E31" s="24">
        <f>Append2[[#This Row],[DynamicAvgSuccessRate]]/(Append2[[#This Row],[DynamicAvgSuccessRate]]+Append2[[#This Row],[DynamicAvgisMalicious]])*100</f>
        <v>59.857723577235767</v>
      </c>
      <c r="F31" s="24">
        <v>0.57608333333333295</v>
      </c>
      <c r="G31" s="24">
        <v>0.52145512820512996</v>
      </c>
      <c r="H31" s="24">
        <v>0.39500000000000002</v>
      </c>
      <c r="I31" s="24">
        <f>Append2[[#This Row],[DynamicAvgisMalicious]]*100</f>
        <v>39.5</v>
      </c>
      <c r="J31" s="24">
        <f>(1-Append2[[#This Row],[DynamicAvgisMalicious]])</f>
        <v>0.60499999999999998</v>
      </c>
      <c r="K31" s="24">
        <f>Append2[[#This Row],[DynamicMAR]]*100</f>
        <v>60.5</v>
      </c>
      <c r="L31" s="24">
        <v>269.97545548036197</v>
      </c>
      <c r="M31" s="24">
        <v>0.42599999999999999</v>
      </c>
      <c r="N31" s="24">
        <v>0.598799999999997</v>
      </c>
      <c r="O31" s="24">
        <v>0.415833333333335</v>
      </c>
      <c r="P31" s="24">
        <v>0.55800000000000005</v>
      </c>
      <c r="Q31" s="25">
        <f>(1-Append2[[#This Row],[FixedAvgisMalicious]])</f>
        <v>0.44199999999999995</v>
      </c>
      <c r="R31" s="25">
        <v>302.16370462565601</v>
      </c>
    </row>
    <row r="32" spans="1:18" s="30" customFormat="1" x14ac:dyDescent="0.35">
      <c r="A32" s="41" t="s">
        <v>16</v>
      </c>
      <c r="B32" s="27">
        <v>10</v>
      </c>
      <c r="C32" s="28">
        <v>0.84499999999999997</v>
      </c>
      <c r="D32" s="28">
        <f>Append2[[#This Row],[DynamicAvgSuccessRate]]*100</f>
        <v>84.5</v>
      </c>
      <c r="E32" s="28">
        <f>Append2[[#This Row],[DynamicAvgSuccessRate]]/(Append2[[#This Row],[DynamicAvgSuccessRate]]+Append2[[#This Row],[DynamicAvgisMalicious]])*100</f>
        <v>86.400817995910018</v>
      </c>
      <c r="F32" s="28">
        <v>0.56824999999999903</v>
      </c>
      <c r="G32" s="28">
        <v>0.44909207459207501</v>
      </c>
      <c r="H32" s="28">
        <v>0.13300000000000001</v>
      </c>
      <c r="I32" s="28">
        <f>Append2[[#This Row],[DynamicAvgisMalicious]]*100</f>
        <v>13.3</v>
      </c>
      <c r="J32" s="28">
        <f>(1-Append2[[#This Row],[DynamicAvgisMalicious]])</f>
        <v>0.86699999999999999</v>
      </c>
      <c r="K32" s="28">
        <f>Append2[[#This Row],[DynamicMAR]]*100</f>
        <v>86.7</v>
      </c>
      <c r="L32" s="28">
        <v>223.50244848971701</v>
      </c>
      <c r="M32" s="28">
        <v>0.86</v>
      </c>
      <c r="N32" s="28">
        <v>0.598799999999997</v>
      </c>
      <c r="O32" s="28">
        <v>0.415833333333335</v>
      </c>
      <c r="P32" s="28">
        <v>0.11600000000000001</v>
      </c>
      <c r="Q32" s="29">
        <f>(1-Append2[[#This Row],[FixedAvgisMalicious]])</f>
        <v>0.88400000000000001</v>
      </c>
      <c r="R32" s="29">
        <v>221.666078864333</v>
      </c>
    </row>
    <row r="33" spans="1:18" s="30" customFormat="1" x14ac:dyDescent="0.35">
      <c r="A33" s="41"/>
      <c r="B33" s="27">
        <v>20</v>
      </c>
      <c r="C33" s="28">
        <v>0.76800000000000002</v>
      </c>
      <c r="D33" s="28">
        <f>Append2[[#This Row],[DynamicAvgSuccessRate]]*100</f>
        <v>76.8</v>
      </c>
      <c r="E33" s="28">
        <f>Append2[[#This Row],[DynamicAvgSuccessRate]]/(Append2[[#This Row],[DynamicAvgSuccessRate]]+Append2[[#This Row],[DynamicAvgisMalicious]])*100</f>
        <v>78.128179043743643</v>
      </c>
      <c r="F33" s="28">
        <v>0.56824999999999903</v>
      </c>
      <c r="G33" s="28">
        <v>0.47455186480186601</v>
      </c>
      <c r="H33" s="28">
        <v>0.215</v>
      </c>
      <c r="I33" s="28">
        <f>Append2[[#This Row],[DynamicAvgisMalicious]]*100</f>
        <v>21.5</v>
      </c>
      <c r="J33" s="28">
        <f>(1-Append2[[#This Row],[DynamicAvgisMalicious]])</f>
        <v>0.78500000000000003</v>
      </c>
      <c r="K33" s="28">
        <f>Append2[[#This Row],[DynamicMAR]]*100</f>
        <v>78.5</v>
      </c>
      <c r="L33" s="28">
        <v>238.273667837278</v>
      </c>
      <c r="M33" s="28">
        <v>0.753</v>
      </c>
      <c r="N33" s="28">
        <v>0.598799999999997</v>
      </c>
      <c r="O33" s="28">
        <v>0.415833333333335</v>
      </c>
      <c r="P33" s="28">
        <v>0.22700000000000001</v>
      </c>
      <c r="Q33" s="29">
        <f>(1-Append2[[#This Row],[FixedAvgisMalicious]])</f>
        <v>0.77300000000000002</v>
      </c>
      <c r="R33" s="29">
        <v>240.47499957417401</v>
      </c>
    </row>
    <row r="34" spans="1:18" s="30" customFormat="1" x14ac:dyDescent="0.35">
      <c r="A34" s="41"/>
      <c r="B34" s="27">
        <v>30</v>
      </c>
      <c r="C34" s="28">
        <v>0.60199999999999998</v>
      </c>
      <c r="D34" s="28">
        <f>Append2[[#This Row],[DynamicAvgSuccessRate]]*100</f>
        <v>60.199999999999996</v>
      </c>
      <c r="E34" s="28">
        <f>Append2[[#This Row],[DynamicAvgSuccessRate]]/(Append2[[#This Row],[DynamicAvgSuccessRate]]+Append2[[#This Row],[DynamicAvgisMalicious]])*100</f>
        <v>61.241098677517805</v>
      </c>
      <c r="F34" s="28">
        <v>0.56824999999999903</v>
      </c>
      <c r="G34" s="28">
        <v>0.47694172494172599</v>
      </c>
      <c r="H34" s="28">
        <v>0.38100000000000001</v>
      </c>
      <c r="I34" s="28">
        <f>Append2[[#This Row],[DynamicAvgisMalicious]]*100</f>
        <v>38.1</v>
      </c>
      <c r="J34" s="28">
        <f>(1-Append2[[#This Row],[DynamicAvgisMalicious]])</f>
        <v>0.61899999999999999</v>
      </c>
      <c r="K34" s="28">
        <f>Append2[[#This Row],[DynamicMAR]]*100</f>
        <v>61.9</v>
      </c>
      <c r="L34" s="28">
        <v>267.40029566721802</v>
      </c>
      <c r="M34" s="28">
        <v>0.67100000000000004</v>
      </c>
      <c r="N34" s="28">
        <v>0.598799999999997</v>
      </c>
      <c r="O34" s="28">
        <v>0.415833333333335</v>
      </c>
      <c r="P34" s="28">
        <v>0.309</v>
      </c>
      <c r="Q34" s="29">
        <f>(1-Append2[[#This Row],[FixedAvgisMalicious]])</f>
        <v>0.69100000000000006</v>
      </c>
      <c r="R34" s="29">
        <v>255.80050087497</v>
      </c>
    </row>
    <row r="35" spans="1:18" s="30" customFormat="1" x14ac:dyDescent="0.35">
      <c r="A35" s="41"/>
      <c r="B35" s="27">
        <v>40</v>
      </c>
      <c r="C35" s="28">
        <v>0.51400000000000001</v>
      </c>
      <c r="D35" s="28">
        <f>Append2[[#This Row],[DynamicAvgSuccessRate]]*100</f>
        <v>51.4</v>
      </c>
      <c r="E35" s="28">
        <f>Append2[[#This Row],[DynamicAvgSuccessRate]]/(Append2[[#This Row],[DynamicAvgSuccessRate]]+Append2[[#This Row],[DynamicAvgisMalicious]])*100</f>
        <v>52.077001013171234</v>
      </c>
      <c r="F35" s="28">
        <v>0.56824999999999903</v>
      </c>
      <c r="G35" s="28">
        <v>0.48052738927739003</v>
      </c>
      <c r="H35" s="28">
        <v>0.47299999999999998</v>
      </c>
      <c r="I35" s="28">
        <f>Append2[[#This Row],[DynamicAvgisMalicious]]*100</f>
        <v>47.3</v>
      </c>
      <c r="J35" s="28">
        <f>(1-Append2[[#This Row],[DynamicAvgisMalicious]])</f>
        <v>0.52700000000000002</v>
      </c>
      <c r="K35" s="28">
        <f>Append2[[#This Row],[DynamicMAR]]*100</f>
        <v>52.7</v>
      </c>
      <c r="L35" s="28">
        <v>286.57833922498202</v>
      </c>
      <c r="M35" s="28">
        <v>0.6</v>
      </c>
      <c r="N35" s="28">
        <v>0.598799999999997</v>
      </c>
      <c r="O35" s="28">
        <v>0.415833333333335</v>
      </c>
      <c r="P35" s="28">
        <v>0.38400000000000001</v>
      </c>
      <c r="Q35" s="29">
        <f>(1-Append2[[#This Row],[FixedAvgisMalicious]])</f>
        <v>0.61599999999999999</v>
      </c>
      <c r="R35" s="29">
        <v>268.88469126769098</v>
      </c>
    </row>
    <row r="36" spans="1:18" s="30" customFormat="1" x14ac:dyDescent="0.35">
      <c r="A36" s="41"/>
      <c r="B36" s="31">
        <v>50</v>
      </c>
      <c r="C36" s="32">
        <v>0.51</v>
      </c>
      <c r="D36" s="32">
        <f>Append2[[#This Row],[DynamicAvgSuccessRate]]*100</f>
        <v>51</v>
      </c>
      <c r="E36" s="32">
        <f>Append2[[#This Row],[DynamicAvgSuccessRate]]/(Append2[[#This Row],[DynamicAvgSuccessRate]]+Append2[[#This Row],[DynamicAvgisMalicious]])*100</f>
        <v>52.040816326530617</v>
      </c>
      <c r="F36" s="32">
        <v>0.56824999999999903</v>
      </c>
      <c r="G36" s="32">
        <v>0.51381876456876596</v>
      </c>
      <c r="H36" s="32">
        <v>0.47</v>
      </c>
      <c r="I36" s="32">
        <f>Append2[[#This Row],[DynamicAvgisMalicious]]*100</f>
        <v>47</v>
      </c>
      <c r="J36" s="32">
        <f>(1-Append2[[#This Row],[DynamicAvgisMalicious]])</f>
        <v>0.53</v>
      </c>
      <c r="K36" s="32">
        <f>Append2[[#This Row],[DynamicMAR]]*100</f>
        <v>53</v>
      </c>
      <c r="L36" s="32">
        <v>284.85042288044599</v>
      </c>
      <c r="M36" s="32">
        <v>0.42599999999999999</v>
      </c>
      <c r="N36" s="32">
        <v>0.598799999999997</v>
      </c>
      <c r="O36" s="32">
        <v>0.415833333333335</v>
      </c>
      <c r="P36" s="32">
        <v>0.55800000000000005</v>
      </c>
      <c r="Q36" s="33">
        <f>(1-Append2[[#This Row],[FixedAvgisMalicious]])</f>
        <v>0.44199999999999995</v>
      </c>
      <c r="R36" s="33">
        <v>302.16370462565601</v>
      </c>
    </row>
    <row r="37" spans="1:18" x14ac:dyDescent="0.35">
      <c r="A37" s="35" t="s">
        <v>25</v>
      </c>
      <c r="B37" s="37"/>
      <c r="C37" s="39">
        <f>AVERAGE(C2:C26)</f>
        <v>0.9363999999999999</v>
      </c>
      <c r="D37" s="32"/>
      <c r="E37" s="32"/>
      <c r="F37" s="39">
        <f>AVERAGE(F2:F26)</f>
        <v>0.57031666666666569</v>
      </c>
      <c r="G37" s="39">
        <f>AVERAGE(G2:G26)</f>
        <v>0.61259881118881399</v>
      </c>
      <c r="H37" s="39"/>
      <c r="I37" s="32"/>
      <c r="J37" s="32">
        <f>AVERAGE(J2:J26)</f>
        <v>0.96499999999999986</v>
      </c>
      <c r="K37" s="32"/>
      <c r="L37" s="39">
        <f>AVERAGE(L2:L26)</f>
        <v>205.80696520818114</v>
      </c>
      <c r="M37" s="39">
        <f>AVERAGE(M2:M26)</f>
        <v>0.66483999999999976</v>
      </c>
      <c r="N37" s="39">
        <f>AVERAGE(N2:N26)</f>
        <v>0.59831999999999708</v>
      </c>
      <c r="O37" s="39">
        <f>AVERAGE(O2:O26)</f>
        <v>0.41550000000000176</v>
      </c>
      <c r="P37" s="39"/>
      <c r="Q37" s="33">
        <f>AVERAGE(Q2:Q26)</f>
        <v>0.68584000000000001</v>
      </c>
      <c r="R37" s="36">
        <f>AVERAGE(R2:R26)</f>
        <v>257.41178022777689</v>
      </c>
    </row>
    <row r="38" spans="1:18" x14ac:dyDescent="0.35">
      <c r="A38" s="35" t="s">
        <v>37</v>
      </c>
      <c r="C38">
        <f>AVERAGE(C27:C36)</f>
        <v>0.66820000000000002</v>
      </c>
      <c r="F38">
        <f>AVERAGE(Append2[DynamicAvgInitialReputation])</f>
        <v>0.57084523809523724</v>
      </c>
      <c r="G38">
        <f>AVERAGE(Append2[DynamiAvgUpdateReputation])</f>
        <v>0.57825705960706197</v>
      </c>
      <c r="H38">
        <f>AVERAGE(H2:H26)</f>
        <v>3.5000000000000003E-2</v>
      </c>
      <c r="I38">
        <f>AVERAGE(I22:I26)</f>
        <v>2.7600000000000002</v>
      </c>
      <c r="J38">
        <f>AVERAGE(J2:J26)</f>
        <v>0.96499999999999986</v>
      </c>
      <c r="K38">
        <f>AVERAGE(K7:K26)</f>
        <v>97.015000000000001</v>
      </c>
      <c r="L38">
        <f>AVERAGE(L27:L36)</f>
        <v>256.59208088614207</v>
      </c>
      <c r="P38">
        <f>AVERAGE(P2:P26)*100</f>
        <v>31.416</v>
      </c>
    </row>
    <row r="39" spans="1:18" x14ac:dyDescent="0.35">
      <c r="C39">
        <f>AVERAGE(C7:C26)</f>
        <v>0.94140000000000013</v>
      </c>
      <c r="H39">
        <f>AVERAGE(H7:H26)</f>
        <v>2.9850000000000005E-2</v>
      </c>
      <c r="I39">
        <f>AVERAGE(I12:I16)</f>
        <v>2.72</v>
      </c>
      <c r="J39">
        <f>AVERAGE(J27:J36)</f>
        <v>0.68630000000000002</v>
      </c>
      <c r="K39">
        <f>AVERAGE(K2:K26)</f>
        <v>96.5</v>
      </c>
    </row>
    <row r="40" spans="1:18" x14ac:dyDescent="0.35">
      <c r="C40">
        <f>AVERAGE(C2:C26)</f>
        <v>0.9363999999999999</v>
      </c>
      <c r="I40">
        <f>AVERAGE(I2:I26)</f>
        <v>3.5</v>
      </c>
    </row>
    <row r="41" spans="1:18" x14ac:dyDescent="0.35">
      <c r="I41">
        <f>AVERAGE(I7:I26)</f>
        <v>2.9850000000000003</v>
      </c>
    </row>
  </sheetData>
  <mergeCells count="7">
    <mergeCell ref="A32:A36"/>
    <mergeCell ref="A2:A6"/>
    <mergeCell ref="A7:A11"/>
    <mergeCell ref="A12:A16"/>
    <mergeCell ref="A17:A21"/>
    <mergeCell ref="A22:A26"/>
    <mergeCell ref="A27:A31"/>
  </mergeCells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0422-8C0A-41A4-A01A-DE945E4CE06F}">
  <dimension ref="A1:I26"/>
  <sheetViews>
    <sheetView zoomScale="54" zoomScaleNormal="54" workbookViewId="0">
      <selection activeCell="C33" sqref="C33"/>
    </sheetView>
  </sheetViews>
  <sheetFormatPr defaultRowHeight="14.5" x14ac:dyDescent="0.35"/>
  <cols>
    <col min="1" max="1" width="25.36328125" bestFit="1" customWidth="1"/>
    <col min="2" max="2" width="17.81640625" bestFit="1" customWidth="1"/>
    <col min="3" max="3" width="22.90625" bestFit="1" customWidth="1"/>
    <col min="4" max="6" width="39.6328125" customWidth="1"/>
    <col min="7" max="7" width="24.1796875" bestFit="1" customWidth="1"/>
    <col min="8" max="8" width="24.6328125" bestFit="1" customWidth="1"/>
    <col min="9" max="9" width="21.26953125" customWidth="1"/>
  </cols>
  <sheetData>
    <row r="1" spans="1:9" x14ac:dyDescent="0.35">
      <c r="A1" s="35" t="s">
        <v>18</v>
      </c>
      <c r="B1" s="1" t="s">
        <v>0</v>
      </c>
      <c r="C1" s="2" t="s">
        <v>20</v>
      </c>
      <c r="D1" s="38" t="s">
        <v>21</v>
      </c>
      <c r="E1" s="38" t="s">
        <v>23</v>
      </c>
      <c r="F1" s="38" t="s">
        <v>5</v>
      </c>
      <c r="G1" s="2" t="s">
        <v>2</v>
      </c>
      <c r="H1" s="2" t="s">
        <v>3</v>
      </c>
      <c r="I1" s="40" t="s">
        <v>31</v>
      </c>
    </row>
    <row r="2" spans="1:9" x14ac:dyDescent="0.35">
      <c r="A2" s="42" t="s">
        <v>26</v>
      </c>
      <c r="B2" s="4">
        <v>10</v>
      </c>
      <c r="C2" s="5">
        <f>Append2[[#This Row],[DynamicAvgSuccessRate]]*100</f>
        <v>96.3</v>
      </c>
      <c r="D2" s="5">
        <f>Append2[[#This Row],[DynamicAvgisMalicious]]*100</f>
        <v>0.89999999999999991</v>
      </c>
      <c r="E2" s="5">
        <f>Append2[[#This Row],[DynamicMAR]]*100</f>
        <v>99.1</v>
      </c>
      <c r="F2" s="5">
        <v>200.65507909619899</v>
      </c>
      <c r="G2" s="5">
        <v>0.57608333333333295</v>
      </c>
      <c r="H2" s="5">
        <v>0.62703846153846499</v>
      </c>
      <c r="I2" s="49" t="s">
        <v>33</v>
      </c>
    </row>
    <row r="3" spans="1:9" x14ac:dyDescent="0.35">
      <c r="A3" s="42"/>
      <c r="B3" s="4">
        <v>20</v>
      </c>
      <c r="C3" s="5">
        <f>Append2[[#This Row],[DynamicAvgSuccessRate]]*100</f>
        <v>95.899999999999991</v>
      </c>
      <c r="D3" s="5">
        <f>Append2[[#This Row],[DynamicAvgisMalicious]]*100</f>
        <v>1.3</v>
      </c>
      <c r="E3" s="5">
        <f>Append2[[#This Row],[DynamicMAR]]*100</f>
        <v>98.7</v>
      </c>
      <c r="F3" s="5">
        <v>201.65752764868</v>
      </c>
      <c r="G3" s="5">
        <v>0.57608333333333295</v>
      </c>
      <c r="H3" s="5">
        <v>0.62703846153846499</v>
      </c>
      <c r="I3" s="49"/>
    </row>
    <row r="4" spans="1:9" x14ac:dyDescent="0.35">
      <c r="A4" s="42"/>
      <c r="B4" s="4">
        <v>30</v>
      </c>
      <c r="C4" s="5">
        <f>Append2[[#This Row],[DynamicAvgSuccessRate]]*100</f>
        <v>93.100000000000009</v>
      </c>
      <c r="D4" s="5">
        <f>Append2[[#This Row],[DynamicAvgisMalicious]]*100</f>
        <v>4.1000000000000005</v>
      </c>
      <c r="E4" s="5">
        <f>Append2[[#This Row],[DynamicMAR]]*100</f>
        <v>95.899999999999991</v>
      </c>
      <c r="F4" s="5">
        <v>206.965142366191</v>
      </c>
      <c r="G4" s="5">
        <v>0.57608333333333295</v>
      </c>
      <c r="H4" s="5">
        <v>0.62534615384615699</v>
      </c>
      <c r="I4" s="49"/>
    </row>
    <row r="5" spans="1:9" x14ac:dyDescent="0.35">
      <c r="A5" s="42"/>
      <c r="B5" s="4">
        <v>40</v>
      </c>
      <c r="C5" s="5">
        <f>Append2[[#This Row],[DynamicAvgSuccessRate]]*100</f>
        <v>88.8</v>
      </c>
      <c r="D5" s="5">
        <f>Append2[[#This Row],[DynamicAvgisMalicious]]*100</f>
        <v>8.4</v>
      </c>
      <c r="E5" s="5">
        <f>Append2[[#This Row],[DynamicMAR]]*100</f>
        <v>91.600000000000009</v>
      </c>
      <c r="F5" s="5">
        <v>215.013350621884</v>
      </c>
      <c r="G5" s="5">
        <v>0.57608333333333295</v>
      </c>
      <c r="H5" s="5">
        <v>0.62042307692307996</v>
      </c>
      <c r="I5" s="49"/>
    </row>
    <row r="6" spans="1:9" x14ac:dyDescent="0.35">
      <c r="A6" s="42"/>
      <c r="B6" s="4">
        <v>50</v>
      </c>
      <c r="C6" s="5">
        <f>Append2[[#This Row],[DynamicAvgSuccessRate]]*100</f>
        <v>84.1</v>
      </c>
      <c r="D6" s="5">
        <f>Append2[[#This Row],[DynamicAvgisMalicious]]*100</f>
        <v>13.100000000000001</v>
      </c>
      <c r="E6" s="5">
        <f>Append2[[#This Row],[DynamicMAR]]*100</f>
        <v>86.9</v>
      </c>
      <c r="F6" s="5">
        <v>223.36689574695501</v>
      </c>
      <c r="G6" s="5">
        <v>0.57608333333333295</v>
      </c>
      <c r="H6" s="5">
        <v>0.61380769230769505</v>
      </c>
      <c r="I6" s="49"/>
    </row>
    <row r="7" spans="1:9" x14ac:dyDescent="0.35">
      <c r="A7" s="43" t="s">
        <v>27</v>
      </c>
      <c r="B7" s="7">
        <v>10</v>
      </c>
      <c r="C7" s="8">
        <f>Append2[[#This Row],[DynamicAvgSuccessRate]]*100</f>
        <v>96.6</v>
      </c>
      <c r="D7" s="8">
        <f>Append2[[#This Row],[DynamicAvgisMalicious]]*100</f>
        <v>0.6</v>
      </c>
      <c r="E7" s="8">
        <f>Append2[[#This Row],[DynamicMAR]]*100</f>
        <v>99.4</v>
      </c>
      <c r="F7" s="8">
        <v>200.196231752145</v>
      </c>
      <c r="G7" s="8">
        <v>0.57074999999999898</v>
      </c>
      <c r="H7" s="8">
        <v>0.61490617715618001</v>
      </c>
      <c r="I7" s="49" t="s">
        <v>36</v>
      </c>
    </row>
    <row r="8" spans="1:9" x14ac:dyDescent="0.35">
      <c r="A8" s="43"/>
      <c r="B8" s="7">
        <v>20</v>
      </c>
      <c r="C8" s="8">
        <f>Append2[[#This Row],[DynamicAvgSuccessRate]]*100</f>
        <v>96.5</v>
      </c>
      <c r="D8" s="8">
        <f>Append2[[#This Row],[DynamicAvgisMalicious]]*100</f>
        <v>0.70000000000000007</v>
      </c>
      <c r="E8" s="8">
        <f>Append2[[#This Row],[DynamicMAR]]*100</f>
        <v>99.3</v>
      </c>
      <c r="F8" s="8">
        <v>200.488502471186</v>
      </c>
      <c r="G8" s="8">
        <v>0.57074999999999898</v>
      </c>
      <c r="H8" s="8">
        <v>0.61508799533799796</v>
      </c>
      <c r="I8" s="49"/>
    </row>
    <row r="9" spans="1:9" x14ac:dyDescent="0.35">
      <c r="A9" s="43"/>
      <c r="B9" s="7">
        <v>30</v>
      </c>
      <c r="C9" s="8">
        <f>Append2[[#This Row],[DynamicAvgSuccessRate]]*100</f>
        <v>95.7</v>
      </c>
      <c r="D9" s="8">
        <f>Append2[[#This Row],[DynamicAvgisMalicious]]*100</f>
        <v>1.5</v>
      </c>
      <c r="E9" s="8">
        <f>Append2[[#This Row],[DynamicMAR]]*100</f>
        <v>98.5</v>
      </c>
      <c r="F9" s="8">
        <v>202.00831332118801</v>
      </c>
      <c r="G9" s="8">
        <v>0.57074999999999898</v>
      </c>
      <c r="H9" s="8">
        <v>0.61517191142191396</v>
      </c>
      <c r="I9" s="49"/>
    </row>
    <row r="10" spans="1:9" x14ac:dyDescent="0.35">
      <c r="A10" s="43"/>
      <c r="B10" s="7">
        <v>40</v>
      </c>
      <c r="C10" s="8">
        <f>Append2[[#This Row],[DynamicAvgSuccessRate]]*100</f>
        <v>93</v>
      </c>
      <c r="D10" s="8">
        <f>Append2[[#This Row],[DynamicAvgisMalicious]]*100</f>
        <v>4.2</v>
      </c>
      <c r="E10" s="8">
        <f>Append2[[#This Row],[DynamicMAR]]*100</f>
        <v>95.8</v>
      </c>
      <c r="F10" s="8">
        <v>207.49244546542499</v>
      </c>
      <c r="G10" s="8">
        <v>0.57074999999999898</v>
      </c>
      <c r="H10" s="8">
        <v>0.61433275058275305</v>
      </c>
      <c r="I10" s="49"/>
    </row>
    <row r="11" spans="1:9" x14ac:dyDescent="0.35">
      <c r="A11" s="43"/>
      <c r="B11" s="7">
        <v>50</v>
      </c>
      <c r="C11" s="8">
        <f>Append2[[#This Row],[DynamicAvgSuccessRate]]*100</f>
        <v>88.8</v>
      </c>
      <c r="D11" s="8">
        <f>Append2[[#This Row],[DynamicAvgisMalicious]]*100</f>
        <v>8.4</v>
      </c>
      <c r="E11" s="8">
        <f>Append2[[#This Row],[DynamicMAR]]*100</f>
        <v>91.600000000000009</v>
      </c>
      <c r="F11" s="8">
        <v>214.97343718020599</v>
      </c>
      <c r="G11" s="8">
        <v>0.57074999999999898</v>
      </c>
      <c r="H11" s="8">
        <v>0.61164743589743897</v>
      </c>
      <c r="I11" s="49"/>
    </row>
    <row r="12" spans="1:9" x14ac:dyDescent="0.35">
      <c r="A12" s="44" t="s">
        <v>28</v>
      </c>
      <c r="B12" s="11">
        <v>10</v>
      </c>
      <c r="C12" s="12">
        <f>Append2[[#This Row],[DynamicAvgSuccessRate]]*100</f>
        <v>96.399999999999991</v>
      </c>
      <c r="D12" s="12">
        <f>Append2[[#This Row],[DynamicAvgisMalicious]]*100</f>
        <v>0.8</v>
      </c>
      <c r="E12" s="12">
        <f>Append2[[#This Row],[DynamicMAR]]*100</f>
        <v>99.2</v>
      </c>
      <c r="F12" s="12">
        <v>200.582763858524</v>
      </c>
      <c r="G12" s="12">
        <v>0.56749999999999901</v>
      </c>
      <c r="H12" s="12">
        <v>0.60665501165501401</v>
      </c>
      <c r="I12" s="48" t="s">
        <v>32</v>
      </c>
    </row>
    <row r="13" spans="1:9" x14ac:dyDescent="0.35">
      <c r="A13" s="44"/>
      <c r="B13" s="11">
        <v>20</v>
      </c>
      <c r="C13" s="12">
        <f>Append2[[#This Row],[DynamicAvgSuccessRate]]*100</f>
        <v>96.399999999999991</v>
      </c>
      <c r="D13" s="12">
        <f>Append2[[#This Row],[DynamicAvgisMalicious]]*100</f>
        <v>0.8</v>
      </c>
      <c r="E13" s="12">
        <f>Append2[[#This Row],[DynamicMAR]]*100</f>
        <v>99.2</v>
      </c>
      <c r="F13" s="12">
        <v>200.582763858524</v>
      </c>
      <c r="G13" s="12">
        <v>0.56749999999999901</v>
      </c>
      <c r="H13" s="12">
        <v>0.60665501165501401</v>
      </c>
      <c r="I13" s="48"/>
    </row>
    <row r="14" spans="1:9" x14ac:dyDescent="0.35">
      <c r="A14" s="44"/>
      <c r="B14" s="11">
        <v>30</v>
      </c>
      <c r="C14" s="12">
        <f>Append2[[#This Row],[DynamicAvgSuccessRate]]*100</f>
        <v>95.6</v>
      </c>
      <c r="D14" s="12">
        <f>Append2[[#This Row],[DynamicAvgisMalicious]]*100</f>
        <v>1.6</v>
      </c>
      <c r="E14" s="12">
        <f>Append2[[#This Row],[DynamicMAR]]*100</f>
        <v>98.4</v>
      </c>
      <c r="F14" s="12">
        <v>202.228900172745</v>
      </c>
      <c r="G14" s="12">
        <v>0.56749999999999901</v>
      </c>
      <c r="H14" s="12">
        <v>0.60792773892774199</v>
      </c>
      <c r="I14" s="48"/>
    </row>
    <row r="15" spans="1:9" x14ac:dyDescent="0.35">
      <c r="A15" s="44"/>
      <c r="B15" s="11">
        <v>40</v>
      </c>
      <c r="C15" s="12">
        <f>Append2[[#This Row],[DynamicAvgSuccessRate]]*100</f>
        <v>93.5</v>
      </c>
      <c r="D15" s="12">
        <f>Append2[[#This Row],[DynamicAvgisMalicious]]*100</f>
        <v>3.6999999999999997</v>
      </c>
      <c r="E15" s="12">
        <f>Append2[[#This Row],[DynamicMAR]]*100</f>
        <v>96.3</v>
      </c>
      <c r="F15" s="12">
        <v>206.123141764335</v>
      </c>
      <c r="G15" s="12">
        <v>0.56749999999999901</v>
      </c>
      <c r="H15" s="12">
        <v>0.60803962703962999</v>
      </c>
      <c r="I15" s="48"/>
    </row>
    <row r="16" spans="1:9" x14ac:dyDescent="0.35">
      <c r="A16" s="44"/>
      <c r="B16" s="11">
        <v>50</v>
      </c>
      <c r="C16" s="12">
        <f>Append2[[#This Row],[DynamicAvgSuccessRate]]*100</f>
        <v>90.5</v>
      </c>
      <c r="D16" s="12">
        <f>Append2[[#This Row],[DynamicAvgisMalicious]]*100</f>
        <v>6.7</v>
      </c>
      <c r="E16" s="12">
        <f>Append2[[#This Row],[DynamicMAR]]*100</f>
        <v>93.300000000000011</v>
      </c>
      <c r="F16" s="12">
        <v>211.78332586729601</v>
      </c>
      <c r="G16" s="12">
        <v>0.56749999999999901</v>
      </c>
      <c r="H16" s="12">
        <v>0.60689277389277696</v>
      </c>
      <c r="I16" s="48"/>
    </row>
    <row r="17" spans="1:9" x14ac:dyDescent="0.35">
      <c r="A17" s="45" t="s">
        <v>29</v>
      </c>
      <c r="B17" s="15">
        <v>10</v>
      </c>
      <c r="C17" s="16">
        <f>Append2[[#This Row],[DynamicAvgSuccessRate]]*100</f>
        <v>96.5</v>
      </c>
      <c r="D17" s="16">
        <f>Append2[[#This Row],[DynamicAvgisMalicious]]*100</f>
        <v>0.70000000000000007</v>
      </c>
      <c r="E17" s="16">
        <f>Append2[[#This Row],[DynamicMAR]]*100</f>
        <v>99.3</v>
      </c>
      <c r="F17" s="16">
        <v>200.26032563853701</v>
      </c>
      <c r="G17" s="16">
        <v>0.56824999999999903</v>
      </c>
      <c r="H17" s="16">
        <v>0.60666317016317295</v>
      </c>
      <c r="I17" s="49" t="s">
        <v>35</v>
      </c>
    </row>
    <row r="18" spans="1:9" x14ac:dyDescent="0.35">
      <c r="A18" s="45"/>
      <c r="B18" s="15">
        <v>20</v>
      </c>
      <c r="C18" s="16">
        <f>Append2[[#This Row],[DynamicAvgSuccessRate]]*100</f>
        <v>96.399999999999991</v>
      </c>
      <c r="D18" s="16">
        <f>Append2[[#This Row],[DynamicAvgisMalicious]]*100</f>
        <v>0.8</v>
      </c>
      <c r="E18" s="16">
        <f>Append2[[#This Row],[DynamicMAR]]*100</f>
        <v>99.2</v>
      </c>
      <c r="F18" s="16">
        <v>200.55259635757901</v>
      </c>
      <c r="G18" s="16">
        <v>0.56824999999999903</v>
      </c>
      <c r="H18" s="16">
        <v>0.60684498834499101</v>
      </c>
      <c r="I18" s="49"/>
    </row>
    <row r="19" spans="1:9" x14ac:dyDescent="0.35">
      <c r="A19" s="45"/>
      <c r="B19" s="15">
        <v>30</v>
      </c>
      <c r="C19" s="16">
        <f>Append2[[#This Row],[DynamicAvgSuccessRate]]*100</f>
        <v>95.7</v>
      </c>
      <c r="D19" s="16">
        <f>Append2[[#This Row],[DynamicAvgisMalicious]]*100</f>
        <v>1.5</v>
      </c>
      <c r="E19" s="16">
        <f>Append2[[#This Row],[DynamicMAR]]*100</f>
        <v>98.5</v>
      </c>
      <c r="F19" s="16">
        <v>201.98178349554101</v>
      </c>
      <c r="G19" s="16">
        <v>0.56824999999999903</v>
      </c>
      <c r="H19" s="16">
        <v>0.60687296037296301</v>
      </c>
      <c r="I19" s="49"/>
    </row>
    <row r="20" spans="1:9" x14ac:dyDescent="0.35">
      <c r="A20" s="45"/>
      <c r="B20" s="15">
        <v>40</v>
      </c>
      <c r="C20" s="16">
        <f>Append2[[#This Row],[DynamicAvgSuccessRate]]*100</f>
        <v>92.5</v>
      </c>
      <c r="D20" s="16">
        <f>Append2[[#This Row],[DynamicAvgisMalicious]]*100</f>
        <v>4.7</v>
      </c>
      <c r="E20" s="16">
        <f>Append2[[#This Row],[DynamicMAR]]*100</f>
        <v>95.3</v>
      </c>
      <c r="F20" s="16">
        <v>207.77502840082099</v>
      </c>
      <c r="G20" s="16">
        <v>0.56824999999999903</v>
      </c>
      <c r="H20" s="16">
        <v>0.60649533799534106</v>
      </c>
      <c r="I20" s="49"/>
    </row>
    <row r="21" spans="1:9" x14ac:dyDescent="0.35">
      <c r="A21" s="45"/>
      <c r="B21" s="15">
        <v>50</v>
      </c>
      <c r="C21" s="16">
        <f>Append2[[#This Row],[DynamicAvgSuccessRate]]*100</f>
        <v>88</v>
      </c>
      <c r="D21" s="16">
        <f>Append2[[#This Row],[DynamicAvgisMalicious]]*100</f>
        <v>9.1999999999999993</v>
      </c>
      <c r="E21" s="16">
        <f>Append2[[#This Row],[DynamicMAR]]*100</f>
        <v>90.8</v>
      </c>
      <c r="F21" s="16">
        <v>216.22597719011901</v>
      </c>
      <c r="G21" s="16">
        <v>0.56824999999999903</v>
      </c>
      <c r="H21" s="16">
        <v>0.60424358974359205</v>
      </c>
      <c r="I21" s="49"/>
    </row>
    <row r="22" spans="1:9" x14ac:dyDescent="0.35">
      <c r="A22" s="46" t="s">
        <v>30</v>
      </c>
      <c r="B22" s="19">
        <v>10</v>
      </c>
      <c r="C22" s="20">
        <f>Append2[[#This Row],[DynamicAvgSuccessRate]]*100</f>
        <v>96.399999999999991</v>
      </c>
      <c r="D22" s="20">
        <f>Append2[[#This Row],[DynamicAvgisMalicious]]*100</f>
        <v>0.4</v>
      </c>
      <c r="E22" s="20">
        <f>Append2[[#This Row],[DynamicMAR]]*100</f>
        <v>99.6</v>
      </c>
      <c r="F22" s="20">
        <v>200.24474997206599</v>
      </c>
      <c r="G22" s="20">
        <v>0.56899999999999895</v>
      </c>
      <c r="H22" s="20">
        <v>0.61262354312354605</v>
      </c>
      <c r="I22" s="49" t="s">
        <v>34</v>
      </c>
    </row>
    <row r="23" spans="1:9" x14ac:dyDescent="0.35">
      <c r="A23" s="46"/>
      <c r="B23" s="19">
        <v>20</v>
      </c>
      <c r="C23" s="20">
        <f>Append2[[#This Row],[DynamicAvgSuccessRate]]*100</f>
        <v>96.2</v>
      </c>
      <c r="D23" s="20">
        <f>Append2[[#This Row],[DynamicAvgisMalicious]]*100</f>
        <v>0.6</v>
      </c>
      <c r="E23" s="20">
        <f>Append2[[#This Row],[DynamicMAR]]*100</f>
        <v>99.4</v>
      </c>
      <c r="F23" s="20">
        <v>200.78531841846299</v>
      </c>
      <c r="G23" s="20">
        <v>0.56899999999999895</v>
      </c>
      <c r="H23" s="20">
        <v>0.61298717948718295</v>
      </c>
      <c r="I23" s="49"/>
    </row>
    <row r="24" spans="1:9" x14ac:dyDescent="0.35">
      <c r="A24" s="46"/>
      <c r="B24" s="19">
        <v>30</v>
      </c>
      <c r="C24" s="20">
        <f>Append2[[#This Row],[DynamicAvgSuccessRate]]*100</f>
        <v>95.199999999999989</v>
      </c>
      <c r="D24" s="20">
        <f>Append2[[#This Row],[DynamicAvgisMalicious]]*100</f>
        <v>1.6</v>
      </c>
      <c r="E24" s="20">
        <f>Append2[[#This Row],[DynamicMAR]]*100</f>
        <v>98.4</v>
      </c>
      <c r="F24" s="20">
        <v>202.74375792891999</v>
      </c>
      <c r="G24" s="20">
        <v>0.56899999999999895</v>
      </c>
      <c r="H24" s="20">
        <v>0.61340675990676297</v>
      </c>
      <c r="I24" s="49"/>
    </row>
    <row r="25" spans="1:9" x14ac:dyDescent="0.35">
      <c r="A25" s="46"/>
      <c r="B25" s="19">
        <v>40</v>
      </c>
      <c r="C25" s="20">
        <f>Append2[[#This Row],[DynamicAvgSuccessRate]]*100</f>
        <v>93.300000000000011</v>
      </c>
      <c r="D25" s="20">
        <f>Append2[[#This Row],[DynamicAvgisMalicious]]*100</f>
        <v>3.6999999999999997</v>
      </c>
      <c r="E25" s="20">
        <f>Append2[[#This Row],[DynamicMAR]]*100</f>
        <v>96.3</v>
      </c>
      <c r="F25" s="20">
        <v>206.68625396807101</v>
      </c>
      <c r="G25" s="20">
        <v>0.56899999999999895</v>
      </c>
      <c r="H25" s="20">
        <v>0.61305710955711201</v>
      </c>
      <c r="I25" s="49"/>
    </row>
    <row r="26" spans="1:9" x14ac:dyDescent="0.35">
      <c r="A26" s="46"/>
      <c r="B26" s="19">
        <v>50</v>
      </c>
      <c r="C26" s="20">
        <f>Append2[[#This Row],[DynamicAvgSuccessRate]]*100</f>
        <v>89.600000000000009</v>
      </c>
      <c r="D26" s="20">
        <f>Append2[[#This Row],[DynamicAvgisMalicious]]*100</f>
        <v>7.5</v>
      </c>
      <c r="E26" s="20">
        <f>Append2[[#This Row],[DynamicMAR]]*100</f>
        <v>92.5</v>
      </c>
      <c r="F26" s="20">
        <v>213.80051764292901</v>
      </c>
      <c r="G26" s="20">
        <v>0.56899999999999895</v>
      </c>
      <c r="H26" s="20">
        <v>0.610805361305364</v>
      </c>
      <c r="I26" s="49"/>
    </row>
  </sheetData>
  <mergeCells count="10">
    <mergeCell ref="A2:A6"/>
    <mergeCell ref="A7:A11"/>
    <mergeCell ref="A12:A16"/>
    <mergeCell ref="A17:A21"/>
    <mergeCell ref="A22:A26"/>
    <mergeCell ref="I12:I16"/>
    <mergeCell ref="I2:I6"/>
    <mergeCell ref="I7:I11"/>
    <mergeCell ref="I22:I26"/>
    <mergeCell ref="I17:I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EBE0-6CF3-4EAC-825E-D06EA2CCF55D}">
  <dimension ref="A1:K6"/>
  <sheetViews>
    <sheetView workbookViewId="0"/>
  </sheetViews>
  <sheetFormatPr defaultRowHeight="14.5" x14ac:dyDescent="0.35"/>
  <cols>
    <col min="1" max="1" width="20.7265625" bestFit="1" customWidth="1"/>
    <col min="2" max="2" width="24.36328125" bestFit="1" customWidth="1"/>
    <col min="3" max="3" width="27.7265625" bestFit="1" customWidth="1"/>
    <col min="4" max="4" width="27.81640625" bestFit="1" customWidth="1"/>
    <col min="5" max="5" width="23.08984375" bestFit="1" customWidth="1"/>
    <col min="6" max="6" width="20.08984375" bestFit="1" customWidth="1"/>
    <col min="7" max="7" width="21.453125" bestFit="1" customWidth="1"/>
    <col min="8" max="8" width="24.7265625" bestFit="1" customWidth="1"/>
    <col min="9" max="9" width="25.90625" bestFit="1" customWidth="1"/>
    <col min="10" max="10" width="20.26953125" bestFit="1" customWidth="1"/>
    <col min="11" max="11" width="17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>
        <v>0.84499999999999997</v>
      </c>
      <c r="C2">
        <v>0.56824999999999903</v>
      </c>
      <c r="D2">
        <v>0.44909207459207501</v>
      </c>
      <c r="E2">
        <v>0.13300000000000001</v>
      </c>
      <c r="F2">
        <v>223.50244848971701</v>
      </c>
      <c r="G2">
        <v>0.86</v>
      </c>
      <c r="H2">
        <v>0.598799999999997</v>
      </c>
      <c r="I2">
        <v>0.415833333333335</v>
      </c>
      <c r="J2">
        <v>0.11600000000000001</v>
      </c>
      <c r="K2">
        <v>221.666078864333</v>
      </c>
    </row>
    <row r="3" spans="1:11" x14ac:dyDescent="0.35">
      <c r="A3">
        <v>20</v>
      </c>
      <c r="B3">
        <v>0.76800000000000002</v>
      </c>
      <c r="C3">
        <v>0.56824999999999903</v>
      </c>
      <c r="D3">
        <v>0.47455186480186601</v>
      </c>
      <c r="E3">
        <v>0.215</v>
      </c>
      <c r="F3">
        <v>238.273667837278</v>
      </c>
      <c r="G3">
        <v>0.753</v>
      </c>
      <c r="H3">
        <v>0.598799999999997</v>
      </c>
      <c r="I3">
        <v>0.415833333333335</v>
      </c>
      <c r="J3">
        <v>0.22700000000000001</v>
      </c>
      <c r="K3">
        <v>240.47499957417401</v>
      </c>
    </row>
    <row r="4" spans="1:11" x14ac:dyDescent="0.35">
      <c r="A4">
        <v>30</v>
      </c>
      <c r="B4">
        <v>0.60199999999999998</v>
      </c>
      <c r="C4">
        <v>0.56824999999999903</v>
      </c>
      <c r="D4">
        <v>0.47694172494172599</v>
      </c>
      <c r="E4">
        <v>0.38100000000000001</v>
      </c>
      <c r="F4">
        <v>267.40029566721802</v>
      </c>
      <c r="G4">
        <v>0.67100000000000004</v>
      </c>
      <c r="H4">
        <v>0.598799999999997</v>
      </c>
      <c r="I4">
        <v>0.415833333333335</v>
      </c>
      <c r="J4">
        <v>0.309</v>
      </c>
      <c r="K4">
        <v>255.80050087497</v>
      </c>
    </row>
    <row r="5" spans="1:11" x14ac:dyDescent="0.35">
      <c r="A5">
        <v>40</v>
      </c>
      <c r="B5">
        <v>0.51400000000000001</v>
      </c>
      <c r="C5">
        <v>0.56824999999999903</v>
      </c>
      <c r="D5">
        <v>0.48052738927739003</v>
      </c>
      <c r="E5">
        <v>0.47299999999999998</v>
      </c>
      <c r="F5">
        <v>286.57833922498202</v>
      </c>
      <c r="G5">
        <v>0.6</v>
      </c>
      <c r="H5">
        <v>0.598799999999997</v>
      </c>
      <c r="I5">
        <v>0.415833333333335</v>
      </c>
      <c r="J5">
        <v>0.38400000000000001</v>
      </c>
      <c r="K5">
        <v>268.88469126769098</v>
      </c>
    </row>
    <row r="6" spans="1:11" x14ac:dyDescent="0.35">
      <c r="A6">
        <v>50</v>
      </c>
      <c r="B6">
        <v>0.51</v>
      </c>
      <c r="C6">
        <v>0.56824999999999903</v>
      </c>
      <c r="D6">
        <v>0.51381876456876596</v>
      </c>
      <c r="E6">
        <v>0.47</v>
      </c>
      <c r="F6">
        <v>284.85042288044599</v>
      </c>
      <c r="G6">
        <v>0.42599999999999999</v>
      </c>
      <c r="H6">
        <v>0.598799999999997</v>
      </c>
      <c r="I6">
        <v>0.415833333333335</v>
      </c>
      <c r="J6">
        <v>0.55800000000000005</v>
      </c>
      <c r="K6">
        <v>302.16370462565601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AC3F-0F48-4EFD-8785-EC0805E6A8F0}">
  <dimension ref="A1:K6"/>
  <sheetViews>
    <sheetView workbookViewId="0"/>
  </sheetViews>
  <sheetFormatPr defaultRowHeight="14.5" x14ac:dyDescent="0.35"/>
  <cols>
    <col min="1" max="1" width="20.7265625" bestFit="1" customWidth="1"/>
    <col min="2" max="2" width="24.36328125" bestFit="1" customWidth="1"/>
    <col min="3" max="3" width="27.7265625" bestFit="1" customWidth="1"/>
    <col min="4" max="4" width="27.81640625" bestFit="1" customWidth="1"/>
    <col min="5" max="5" width="23.08984375" bestFit="1" customWidth="1"/>
    <col min="6" max="6" width="20.08984375" bestFit="1" customWidth="1"/>
    <col min="7" max="7" width="21.453125" bestFit="1" customWidth="1"/>
    <col min="8" max="8" width="24.7265625" bestFit="1" customWidth="1"/>
    <col min="9" max="9" width="25.90625" bestFit="1" customWidth="1"/>
    <col min="10" max="10" width="20.26953125" bestFit="1" customWidth="1"/>
    <col min="11" max="11" width="17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>
        <v>0.84099999999999997</v>
      </c>
      <c r="C2">
        <v>0.57608333333333295</v>
      </c>
      <c r="D2">
        <v>0.48966142191142398</v>
      </c>
      <c r="E2">
        <v>0.14000000000000001</v>
      </c>
      <c r="F2">
        <v>223.64494583104701</v>
      </c>
      <c r="G2">
        <v>0.86</v>
      </c>
      <c r="H2">
        <v>0.598799999999997</v>
      </c>
      <c r="I2">
        <v>0.415833333333335</v>
      </c>
      <c r="J2">
        <v>0.11600000000000001</v>
      </c>
      <c r="K2">
        <v>221.666078864333</v>
      </c>
    </row>
    <row r="3" spans="1:11" x14ac:dyDescent="0.35">
      <c r="A3">
        <v>20</v>
      </c>
      <c r="B3">
        <v>0.72299999999999998</v>
      </c>
      <c r="C3">
        <v>0.57608333333333295</v>
      </c>
      <c r="D3">
        <v>0.50227797202797397</v>
      </c>
      <c r="E3">
        <v>0.25600000000000001</v>
      </c>
      <c r="F3">
        <v>246.52460638312499</v>
      </c>
      <c r="G3">
        <v>0.753</v>
      </c>
      <c r="H3">
        <v>0.598799999999997</v>
      </c>
      <c r="I3">
        <v>0.415833333333335</v>
      </c>
      <c r="J3">
        <v>0.22700000000000001</v>
      </c>
      <c r="K3">
        <v>240.47499957417401</v>
      </c>
    </row>
    <row r="4" spans="1:11" x14ac:dyDescent="0.35">
      <c r="A4">
        <v>30</v>
      </c>
      <c r="B4">
        <v>0.66600000000000004</v>
      </c>
      <c r="C4">
        <v>0.57608333333333295</v>
      </c>
      <c r="D4">
        <v>0.50521969696969904</v>
      </c>
      <c r="E4">
        <v>0.315</v>
      </c>
      <c r="F4">
        <v>257.55659782395099</v>
      </c>
      <c r="G4">
        <v>0.67100000000000004</v>
      </c>
      <c r="H4">
        <v>0.598799999999997</v>
      </c>
      <c r="I4">
        <v>0.415833333333335</v>
      </c>
      <c r="J4">
        <v>0.309</v>
      </c>
      <c r="K4">
        <v>255.80050087497</v>
      </c>
    </row>
    <row r="5" spans="1:11" x14ac:dyDescent="0.35">
      <c r="A5">
        <v>40</v>
      </c>
      <c r="B5">
        <v>0.624</v>
      </c>
      <c r="C5">
        <v>0.57608333333333295</v>
      </c>
      <c r="D5">
        <v>0.51048076923077101</v>
      </c>
      <c r="E5">
        <v>0.35899999999999999</v>
      </c>
      <c r="F5">
        <v>267.61402924329502</v>
      </c>
      <c r="G5">
        <v>0.6</v>
      </c>
      <c r="H5">
        <v>0.598799999999997</v>
      </c>
      <c r="I5">
        <v>0.415833333333335</v>
      </c>
      <c r="J5">
        <v>0.38400000000000001</v>
      </c>
      <c r="K5">
        <v>268.88469126769098</v>
      </c>
    </row>
    <row r="6" spans="1:11" x14ac:dyDescent="0.35">
      <c r="A6">
        <v>50</v>
      </c>
      <c r="B6">
        <v>0.58899999999999997</v>
      </c>
      <c r="C6">
        <v>0.57608333333333295</v>
      </c>
      <c r="D6">
        <v>0.52145512820512996</v>
      </c>
      <c r="E6">
        <v>0.39500000000000002</v>
      </c>
      <c r="F6">
        <v>269.97545548036197</v>
      </c>
      <c r="G6">
        <v>0.42599999999999999</v>
      </c>
      <c r="H6">
        <v>0.598799999999997</v>
      </c>
      <c r="I6">
        <v>0.415833333333335</v>
      </c>
      <c r="J6">
        <v>0.55800000000000005</v>
      </c>
      <c r="K6">
        <v>302.16370462565601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C486-D131-4524-8975-6124E4849C91}">
  <dimension ref="A1:K6"/>
  <sheetViews>
    <sheetView workbookViewId="0"/>
  </sheetViews>
  <sheetFormatPr defaultRowHeight="14.5" x14ac:dyDescent="0.35"/>
  <cols>
    <col min="1" max="1" width="20.7265625" bestFit="1" customWidth="1"/>
    <col min="2" max="2" width="24.36328125" bestFit="1" customWidth="1"/>
    <col min="3" max="3" width="27.7265625" bestFit="1" customWidth="1"/>
    <col min="4" max="4" width="27.81640625" bestFit="1" customWidth="1"/>
    <col min="5" max="5" width="23.08984375" bestFit="1" customWidth="1"/>
    <col min="6" max="6" width="20.08984375" bestFit="1" customWidth="1"/>
    <col min="7" max="7" width="21.453125" bestFit="1" customWidth="1"/>
    <col min="8" max="8" width="24.7265625" bestFit="1" customWidth="1"/>
    <col min="9" max="9" width="25.90625" bestFit="1" customWidth="1"/>
    <col min="10" max="10" width="20.26953125" bestFit="1" customWidth="1"/>
    <col min="11" max="11" width="17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>
        <v>0.96399999999999997</v>
      </c>
      <c r="C2">
        <v>0.56899999999999895</v>
      </c>
      <c r="D2">
        <v>0.61262354312354605</v>
      </c>
      <c r="E2">
        <v>4.0000000000000001E-3</v>
      </c>
      <c r="F2">
        <v>200.24474997206599</v>
      </c>
      <c r="G2">
        <v>0.85299999999999998</v>
      </c>
      <c r="H2">
        <v>0.59639999999999704</v>
      </c>
      <c r="I2">
        <v>0.41416666666666802</v>
      </c>
      <c r="J2">
        <v>0.121</v>
      </c>
      <c r="K2">
        <v>221.20863182611799</v>
      </c>
    </row>
    <row r="3" spans="1:11" x14ac:dyDescent="0.35">
      <c r="A3">
        <v>20</v>
      </c>
      <c r="B3">
        <v>0.96199999999999997</v>
      </c>
      <c r="C3">
        <v>0.56899999999999895</v>
      </c>
      <c r="D3">
        <v>0.61298717948718295</v>
      </c>
      <c r="E3">
        <v>6.0000000000000001E-3</v>
      </c>
      <c r="F3">
        <v>200.78531841846299</v>
      </c>
      <c r="G3">
        <v>0.76200000000000001</v>
      </c>
      <c r="H3">
        <v>0.59639999999999704</v>
      </c>
      <c r="I3">
        <v>0.41416666666666802</v>
      </c>
      <c r="J3">
        <v>0.215</v>
      </c>
      <c r="K3">
        <v>238.04790700691399</v>
      </c>
    </row>
    <row r="4" spans="1:11" x14ac:dyDescent="0.35">
      <c r="A4">
        <v>30</v>
      </c>
      <c r="B4">
        <v>0.95199999999999996</v>
      </c>
      <c r="C4">
        <v>0.56899999999999895</v>
      </c>
      <c r="D4">
        <v>0.61340675990676297</v>
      </c>
      <c r="E4">
        <v>1.6E-2</v>
      </c>
      <c r="F4">
        <v>202.74375792891999</v>
      </c>
      <c r="G4">
        <v>0.65500000000000003</v>
      </c>
      <c r="H4">
        <v>0.59639999999999704</v>
      </c>
      <c r="I4">
        <v>0.41416666666666802</v>
      </c>
      <c r="J4">
        <v>0.31900000000000001</v>
      </c>
      <c r="K4">
        <v>258.57720210059898</v>
      </c>
    </row>
    <row r="5" spans="1:11" x14ac:dyDescent="0.35">
      <c r="A5">
        <v>40</v>
      </c>
      <c r="B5">
        <v>0.93300000000000005</v>
      </c>
      <c r="C5">
        <v>0.56899999999999895</v>
      </c>
      <c r="D5">
        <v>0.61305710955711201</v>
      </c>
      <c r="E5">
        <v>3.6999999999999998E-2</v>
      </c>
      <c r="F5">
        <v>206.68625396807101</v>
      </c>
      <c r="G5">
        <v>0.54400000000000004</v>
      </c>
      <c r="H5">
        <v>0.59639999999999704</v>
      </c>
      <c r="I5">
        <v>0.41416666666666802</v>
      </c>
      <c r="J5">
        <v>0.436</v>
      </c>
      <c r="K5">
        <v>279.31271082627802</v>
      </c>
    </row>
    <row r="6" spans="1:11" x14ac:dyDescent="0.35">
      <c r="A6">
        <v>50</v>
      </c>
      <c r="B6">
        <v>0.89600000000000002</v>
      </c>
      <c r="C6">
        <v>0.56899999999999895</v>
      </c>
      <c r="D6">
        <v>0.610805361305364</v>
      </c>
      <c r="E6">
        <v>7.4999999999999997E-2</v>
      </c>
      <c r="F6">
        <v>213.80051764292901</v>
      </c>
      <c r="G6">
        <v>0.435</v>
      </c>
      <c r="H6">
        <v>0.59639999999999704</v>
      </c>
      <c r="I6">
        <v>0.41416666666666802</v>
      </c>
      <c r="J6">
        <v>0.54700000000000004</v>
      </c>
      <c r="K6">
        <v>298.939144294546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A2FE-BE8A-4BC3-9336-03FECDF28055}">
  <dimension ref="A1:K6"/>
  <sheetViews>
    <sheetView workbookViewId="0"/>
  </sheetViews>
  <sheetFormatPr defaultRowHeight="14.5" x14ac:dyDescent="0.35"/>
  <cols>
    <col min="1" max="1" width="20.7265625" bestFit="1" customWidth="1"/>
    <col min="2" max="2" width="24.36328125" bestFit="1" customWidth="1"/>
    <col min="3" max="3" width="27.7265625" bestFit="1" customWidth="1"/>
    <col min="4" max="4" width="27.81640625" bestFit="1" customWidth="1"/>
    <col min="5" max="5" width="23.08984375" bestFit="1" customWidth="1"/>
    <col min="6" max="6" width="20.08984375" bestFit="1" customWidth="1"/>
    <col min="7" max="7" width="21.453125" bestFit="1" customWidth="1"/>
    <col min="8" max="8" width="24.7265625" bestFit="1" customWidth="1"/>
    <col min="9" max="9" width="25.90625" bestFit="1" customWidth="1"/>
    <col min="10" max="10" width="20.26953125" bestFit="1" customWidth="1"/>
    <col min="11" max="11" width="17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>
        <v>0.96499999999999997</v>
      </c>
      <c r="C2">
        <v>0.56824999999999903</v>
      </c>
      <c r="D2">
        <v>0.60666317016317295</v>
      </c>
      <c r="E2">
        <v>7.0000000000000001E-3</v>
      </c>
      <c r="F2">
        <v>200.26032563853701</v>
      </c>
      <c r="G2">
        <v>0.85799999999999998</v>
      </c>
      <c r="H2">
        <v>0.598799999999997</v>
      </c>
      <c r="I2">
        <v>0.415833333333335</v>
      </c>
      <c r="J2">
        <v>0.115</v>
      </c>
      <c r="K2">
        <v>221.58102576170501</v>
      </c>
    </row>
    <row r="3" spans="1:11" x14ac:dyDescent="0.35">
      <c r="A3">
        <v>20</v>
      </c>
      <c r="B3">
        <v>0.96399999999999997</v>
      </c>
      <c r="C3">
        <v>0.56824999999999903</v>
      </c>
      <c r="D3">
        <v>0.60684498834499101</v>
      </c>
      <c r="E3">
        <v>8.0000000000000002E-3</v>
      </c>
      <c r="F3">
        <v>200.55259635757901</v>
      </c>
      <c r="G3">
        <v>0.77600000000000002</v>
      </c>
      <c r="H3">
        <v>0.598799999999997</v>
      </c>
      <c r="I3">
        <v>0.415833333333335</v>
      </c>
      <c r="J3">
        <v>0.19700000000000001</v>
      </c>
      <c r="K3">
        <v>236.54665846594</v>
      </c>
    </row>
    <row r="4" spans="1:11" x14ac:dyDescent="0.35">
      <c r="A4">
        <v>30</v>
      </c>
      <c r="B4">
        <v>0.95699999999999996</v>
      </c>
      <c r="C4">
        <v>0.56824999999999903</v>
      </c>
      <c r="D4">
        <v>0.60687296037296301</v>
      </c>
      <c r="E4">
        <v>1.4999999999999999E-2</v>
      </c>
      <c r="F4">
        <v>201.98178349554101</v>
      </c>
      <c r="G4">
        <v>0.68799999999999994</v>
      </c>
      <c r="H4">
        <v>0.598799999999997</v>
      </c>
      <c r="I4">
        <v>0.415833333333335</v>
      </c>
      <c r="J4">
        <v>0.29199999999999998</v>
      </c>
      <c r="K4">
        <v>252.6599218483</v>
      </c>
    </row>
    <row r="5" spans="1:11" x14ac:dyDescent="0.35">
      <c r="A5">
        <v>40</v>
      </c>
      <c r="B5">
        <v>0.92500000000000004</v>
      </c>
      <c r="C5">
        <v>0.56824999999999903</v>
      </c>
      <c r="D5">
        <v>0.60649533799534106</v>
      </c>
      <c r="E5">
        <v>4.7E-2</v>
      </c>
      <c r="F5">
        <v>207.77502840082099</v>
      </c>
      <c r="G5">
        <v>0.57099999999999995</v>
      </c>
      <c r="H5">
        <v>0.598799999999997</v>
      </c>
      <c r="I5">
        <v>0.415833333333335</v>
      </c>
      <c r="J5">
        <v>0.41099999999999998</v>
      </c>
      <c r="K5">
        <v>275.38324053935099</v>
      </c>
    </row>
    <row r="6" spans="1:11" x14ac:dyDescent="0.35">
      <c r="A6">
        <v>50</v>
      </c>
      <c r="B6">
        <v>0.88</v>
      </c>
      <c r="C6">
        <v>0.56824999999999903</v>
      </c>
      <c r="D6">
        <v>0.60424358974359205</v>
      </c>
      <c r="E6">
        <v>9.1999999999999998E-2</v>
      </c>
      <c r="F6">
        <v>216.22597719011901</v>
      </c>
      <c r="G6">
        <v>0.45</v>
      </c>
      <c r="H6">
        <v>0.598799999999997</v>
      </c>
      <c r="I6">
        <v>0.415833333333335</v>
      </c>
      <c r="J6">
        <v>0.53900000000000003</v>
      </c>
      <c r="K6">
        <v>298.63138079469599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3ADC-82A8-4A79-BE77-7EA1113AFCF6}">
  <dimension ref="A1:K6"/>
  <sheetViews>
    <sheetView workbookViewId="0"/>
  </sheetViews>
  <sheetFormatPr defaultRowHeight="14.5" x14ac:dyDescent="0.35"/>
  <cols>
    <col min="1" max="1" width="20.7265625" bestFit="1" customWidth="1"/>
    <col min="2" max="2" width="24.36328125" bestFit="1" customWidth="1"/>
    <col min="3" max="3" width="27.7265625" bestFit="1" customWidth="1"/>
    <col min="4" max="4" width="27.81640625" bestFit="1" customWidth="1"/>
    <col min="5" max="5" width="23.08984375" bestFit="1" customWidth="1"/>
    <col min="6" max="6" width="20.08984375" bestFit="1" customWidth="1"/>
    <col min="7" max="7" width="21.453125" bestFit="1" customWidth="1"/>
    <col min="8" max="8" width="24.7265625" bestFit="1" customWidth="1"/>
    <col min="9" max="9" width="25.90625" bestFit="1" customWidth="1"/>
    <col min="10" max="10" width="20.26953125" bestFit="1" customWidth="1"/>
    <col min="11" max="11" width="17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>
        <v>0.96399999999999997</v>
      </c>
      <c r="C2">
        <v>0.56749999999999901</v>
      </c>
      <c r="D2">
        <v>0.60665501165501401</v>
      </c>
      <c r="E2">
        <v>8.0000000000000002E-3</v>
      </c>
      <c r="F2">
        <v>200.582763858524</v>
      </c>
      <c r="G2">
        <v>0.85799999999999998</v>
      </c>
      <c r="H2">
        <v>0.598799999999997</v>
      </c>
      <c r="I2">
        <v>0.415833333333335</v>
      </c>
      <c r="J2">
        <v>0.115</v>
      </c>
      <c r="K2">
        <v>221.58102576170501</v>
      </c>
    </row>
    <row r="3" spans="1:11" x14ac:dyDescent="0.35">
      <c r="A3">
        <v>20</v>
      </c>
      <c r="B3">
        <v>0.96399999999999997</v>
      </c>
      <c r="C3">
        <v>0.56749999999999901</v>
      </c>
      <c r="D3">
        <v>0.60665501165501401</v>
      </c>
      <c r="E3">
        <v>8.0000000000000002E-3</v>
      </c>
      <c r="F3">
        <v>200.582763858524</v>
      </c>
      <c r="G3">
        <v>0.77600000000000002</v>
      </c>
      <c r="H3">
        <v>0.598799999999997</v>
      </c>
      <c r="I3">
        <v>0.415833333333335</v>
      </c>
      <c r="J3">
        <v>0.19700000000000001</v>
      </c>
      <c r="K3">
        <v>236.54665846594</v>
      </c>
    </row>
    <row r="4" spans="1:11" x14ac:dyDescent="0.35">
      <c r="A4">
        <v>30</v>
      </c>
      <c r="B4">
        <v>0.95599999999999996</v>
      </c>
      <c r="C4">
        <v>0.56749999999999901</v>
      </c>
      <c r="D4">
        <v>0.60792773892774199</v>
      </c>
      <c r="E4">
        <v>1.6E-2</v>
      </c>
      <c r="F4">
        <v>202.228900172745</v>
      </c>
      <c r="G4">
        <v>0.68799999999999994</v>
      </c>
      <c r="H4">
        <v>0.598799999999997</v>
      </c>
      <c r="I4">
        <v>0.415833333333335</v>
      </c>
      <c r="J4">
        <v>0.29199999999999998</v>
      </c>
      <c r="K4">
        <v>252.6599218483</v>
      </c>
    </row>
    <row r="5" spans="1:11" x14ac:dyDescent="0.35">
      <c r="A5">
        <v>40</v>
      </c>
      <c r="B5">
        <v>0.93500000000000005</v>
      </c>
      <c r="C5">
        <v>0.56749999999999901</v>
      </c>
      <c r="D5">
        <v>0.60803962703962999</v>
      </c>
      <c r="E5">
        <v>3.6999999999999998E-2</v>
      </c>
      <c r="F5">
        <v>206.123141764335</v>
      </c>
      <c r="G5">
        <v>0.57099999999999995</v>
      </c>
      <c r="H5">
        <v>0.598799999999997</v>
      </c>
      <c r="I5">
        <v>0.415833333333335</v>
      </c>
      <c r="J5">
        <v>0.41099999999999998</v>
      </c>
      <c r="K5">
        <v>275.38324053935099</v>
      </c>
    </row>
    <row r="6" spans="1:11" x14ac:dyDescent="0.35">
      <c r="A6">
        <v>50</v>
      </c>
      <c r="B6">
        <v>0.90500000000000003</v>
      </c>
      <c r="C6">
        <v>0.56749999999999901</v>
      </c>
      <c r="D6">
        <v>0.60689277389277696</v>
      </c>
      <c r="E6">
        <v>6.7000000000000004E-2</v>
      </c>
      <c r="F6">
        <v>211.78332586729601</v>
      </c>
      <c r="G6">
        <v>0.45</v>
      </c>
      <c r="H6">
        <v>0.598799999999997</v>
      </c>
      <c r="I6">
        <v>0.415833333333335</v>
      </c>
      <c r="J6">
        <v>0.53900000000000003</v>
      </c>
      <c r="K6">
        <v>298.63138079469599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2B4B-AFE8-42AE-AEA7-82E056F25C07}">
  <dimension ref="A1:K6"/>
  <sheetViews>
    <sheetView workbookViewId="0"/>
  </sheetViews>
  <sheetFormatPr defaultRowHeight="14.5" x14ac:dyDescent="0.35"/>
  <cols>
    <col min="1" max="1" width="20.7265625" bestFit="1" customWidth="1"/>
    <col min="2" max="2" width="24.36328125" bestFit="1" customWidth="1"/>
    <col min="3" max="3" width="27.7265625" bestFit="1" customWidth="1"/>
    <col min="4" max="4" width="27.81640625" bestFit="1" customWidth="1"/>
    <col min="5" max="5" width="23.08984375" bestFit="1" customWidth="1"/>
    <col min="6" max="6" width="20.08984375" bestFit="1" customWidth="1"/>
    <col min="7" max="7" width="21.453125" bestFit="1" customWidth="1"/>
    <col min="8" max="8" width="24.7265625" bestFit="1" customWidth="1"/>
    <col min="9" max="9" width="25.90625" bestFit="1" customWidth="1"/>
    <col min="10" max="10" width="20.26953125" bestFit="1" customWidth="1"/>
    <col min="11" max="11" width="17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>
        <v>0.96599999999999997</v>
      </c>
      <c r="C2">
        <v>0.57074999999999898</v>
      </c>
      <c r="D2">
        <v>0.61490617715618001</v>
      </c>
      <c r="E2">
        <v>6.0000000000000001E-3</v>
      </c>
      <c r="F2">
        <v>200.196231752145</v>
      </c>
      <c r="G2">
        <v>0.85799999999999998</v>
      </c>
      <c r="H2">
        <v>0.598799999999997</v>
      </c>
      <c r="I2">
        <v>0.415833333333335</v>
      </c>
      <c r="J2">
        <v>0.115</v>
      </c>
      <c r="K2">
        <v>221.58102576170501</v>
      </c>
    </row>
    <row r="3" spans="1:11" x14ac:dyDescent="0.35">
      <c r="A3">
        <v>20</v>
      </c>
      <c r="B3">
        <v>0.96499999999999997</v>
      </c>
      <c r="C3">
        <v>0.57074999999999898</v>
      </c>
      <c r="D3">
        <v>0.61508799533799796</v>
      </c>
      <c r="E3">
        <v>7.0000000000000001E-3</v>
      </c>
      <c r="F3">
        <v>200.488502471186</v>
      </c>
      <c r="G3">
        <v>0.77600000000000002</v>
      </c>
      <c r="H3">
        <v>0.598799999999997</v>
      </c>
      <c r="I3">
        <v>0.415833333333335</v>
      </c>
      <c r="J3">
        <v>0.19700000000000001</v>
      </c>
      <c r="K3">
        <v>236.54665846594</v>
      </c>
    </row>
    <row r="4" spans="1:11" x14ac:dyDescent="0.35">
      <c r="A4">
        <v>30</v>
      </c>
      <c r="B4">
        <v>0.95699999999999996</v>
      </c>
      <c r="C4">
        <v>0.57074999999999898</v>
      </c>
      <c r="D4">
        <v>0.61517191142191396</v>
      </c>
      <c r="E4">
        <v>1.4999999999999999E-2</v>
      </c>
      <c r="F4">
        <v>202.00831332118801</v>
      </c>
      <c r="G4">
        <v>0.68799999999999994</v>
      </c>
      <c r="H4">
        <v>0.598799999999997</v>
      </c>
      <c r="I4">
        <v>0.415833333333335</v>
      </c>
      <c r="J4">
        <v>0.29199999999999998</v>
      </c>
      <c r="K4">
        <v>252.6599218483</v>
      </c>
    </row>
    <row r="5" spans="1:11" x14ac:dyDescent="0.35">
      <c r="A5">
        <v>40</v>
      </c>
      <c r="B5">
        <v>0.93</v>
      </c>
      <c r="C5">
        <v>0.57074999999999898</v>
      </c>
      <c r="D5">
        <v>0.61433275058275305</v>
      </c>
      <c r="E5">
        <v>4.2000000000000003E-2</v>
      </c>
      <c r="F5">
        <v>207.49244546542499</v>
      </c>
      <c r="G5">
        <v>0.57099999999999995</v>
      </c>
      <c r="H5">
        <v>0.598799999999997</v>
      </c>
      <c r="I5">
        <v>0.415833333333335</v>
      </c>
      <c r="J5">
        <v>0.41099999999999998</v>
      </c>
      <c r="K5">
        <v>275.38324053935099</v>
      </c>
    </row>
    <row r="6" spans="1:11" x14ac:dyDescent="0.35">
      <c r="A6">
        <v>50</v>
      </c>
      <c r="B6">
        <v>0.88800000000000001</v>
      </c>
      <c r="C6">
        <v>0.57074999999999898</v>
      </c>
      <c r="D6">
        <v>0.61164743589743897</v>
      </c>
      <c r="E6">
        <v>8.4000000000000005E-2</v>
      </c>
      <c r="F6">
        <v>214.97343718020599</v>
      </c>
      <c r="G6">
        <v>0.45</v>
      </c>
      <c r="H6">
        <v>0.598799999999997</v>
      </c>
      <c r="I6">
        <v>0.415833333333335</v>
      </c>
      <c r="J6">
        <v>0.53900000000000003</v>
      </c>
      <c r="K6">
        <v>298.63138079469599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E560-22CF-4DC3-A4B7-A88EE779DB8B}">
  <dimension ref="A1:K6"/>
  <sheetViews>
    <sheetView workbookViewId="0"/>
  </sheetViews>
  <sheetFormatPr defaultRowHeight="14.5" x14ac:dyDescent="0.35"/>
  <cols>
    <col min="1" max="1" width="20.7265625" bestFit="1" customWidth="1"/>
    <col min="2" max="2" width="24.36328125" bestFit="1" customWidth="1"/>
    <col min="3" max="3" width="27.7265625" bestFit="1" customWidth="1"/>
    <col min="4" max="4" width="27.81640625" bestFit="1" customWidth="1"/>
    <col min="5" max="5" width="23.08984375" bestFit="1" customWidth="1"/>
    <col min="6" max="6" width="20.08984375" bestFit="1" customWidth="1"/>
    <col min="7" max="7" width="21.453125" bestFit="1" customWidth="1"/>
    <col min="8" max="8" width="24.7265625" bestFit="1" customWidth="1"/>
    <col min="9" max="9" width="25.90625" bestFit="1" customWidth="1"/>
    <col min="10" max="10" width="20.26953125" bestFit="1" customWidth="1"/>
    <col min="11" max="11" width="17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>
        <v>0.96299999999999997</v>
      </c>
      <c r="C2">
        <v>0.57608333333333295</v>
      </c>
      <c r="D2">
        <v>0.62703846153846499</v>
      </c>
      <c r="E2">
        <v>8.9999999999999993E-3</v>
      </c>
      <c r="F2">
        <v>200.65507909619899</v>
      </c>
      <c r="G2">
        <v>0.85799999999999998</v>
      </c>
      <c r="H2">
        <v>0.598799999999997</v>
      </c>
      <c r="I2">
        <v>0.415833333333335</v>
      </c>
      <c r="J2">
        <v>0.115</v>
      </c>
      <c r="K2">
        <v>221.58102576170501</v>
      </c>
    </row>
    <row r="3" spans="1:11" x14ac:dyDescent="0.35">
      <c r="A3">
        <v>20</v>
      </c>
      <c r="B3">
        <v>0.95899999999999996</v>
      </c>
      <c r="C3">
        <v>0.57608333333333295</v>
      </c>
      <c r="D3">
        <v>0.62703846153846499</v>
      </c>
      <c r="E3">
        <v>1.2999999999999999E-2</v>
      </c>
      <c r="F3">
        <v>201.65752764868</v>
      </c>
      <c r="G3">
        <v>0.77600000000000002</v>
      </c>
      <c r="H3">
        <v>0.598799999999997</v>
      </c>
      <c r="I3">
        <v>0.415833333333335</v>
      </c>
      <c r="J3">
        <v>0.19700000000000001</v>
      </c>
      <c r="K3">
        <v>236.54665846594</v>
      </c>
    </row>
    <row r="4" spans="1:11" x14ac:dyDescent="0.35">
      <c r="A4">
        <v>30</v>
      </c>
      <c r="B4">
        <v>0.93100000000000005</v>
      </c>
      <c r="C4">
        <v>0.57608333333333295</v>
      </c>
      <c r="D4">
        <v>0.62534615384615699</v>
      </c>
      <c r="E4">
        <v>4.1000000000000002E-2</v>
      </c>
      <c r="F4">
        <v>206.965142366191</v>
      </c>
      <c r="G4">
        <v>0.68799999999999994</v>
      </c>
      <c r="H4">
        <v>0.598799999999997</v>
      </c>
      <c r="I4">
        <v>0.415833333333335</v>
      </c>
      <c r="J4">
        <v>0.29199999999999998</v>
      </c>
      <c r="K4">
        <v>252.6599218483</v>
      </c>
    </row>
    <row r="5" spans="1:11" x14ac:dyDescent="0.35">
      <c r="A5">
        <v>40</v>
      </c>
      <c r="B5">
        <v>0.88800000000000001</v>
      </c>
      <c r="C5">
        <v>0.57608333333333295</v>
      </c>
      <c r="D5">
        <v>0.62042307692307996</v>
      </c>
      <c r="E5">
        <v>8.4000000000000005E-2</v>
      </c>
      <c r="F5">
        <v>215.013350621884</v>
      </c>
      <c r="G5">
        <v>0.57099999999999995</v>
      </c>
      <c r="H5">
        <v>0.598799999999997</v>
      </c>
      <c r="I5">
        <v>0.415833333333335</v>
      </c>
      <c r="J5">
        <v>0.41099999999999998</v>
      </c>
      <c r="K5">
        <v>275.38324053935099</v>
      </c>
    </row>
    <row r="6" spans="1:11" x14ac:dyDescent="0.35">
      <c r="A6">
        <v>50</v>
      </c>
      <c r="B6">
        <v>0.84099999999999997</v>
      </c>
      <c r="C6">
        <v>0.57608333333333295</v>
      </c>
      <c r="D6">
        <v>0.61380769230769505</v>
      </c>
      <c r="E6">
        <v>0.13100000000000001</v>
      </c>
      <c r="F6">
        <v>223.36689574695501</v>
      </c>
      <c r="G6">
        <v>0.45</v>
      </c>
      <c r="H6">
        <v>0.598799999999997</v>
      </c>
      <c r="I6">
        <v>0.415833333333335</v>
      </c>
      <c r="J6">
        <v>0.53900000000000003</v>
      </c>
      <c r="K6">
        <v>298.63138079469599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5D0E-60B8-48FD-9394-5181760C8CC4}">
  <dimension ref="A1:K6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>
        <v>0.96299999999999997</v>
      </c>
      <c r="C2">
        <v>0.57608333333333295</v>
      </c>
      <c r="D2">
        <v>0.62703846153846499</v>
      </c>
      <c r="E2">
        <v>8.9999999999999993E-3</v>
      </c>
      <c r="F2">
        <v>200.65507909619899</v>
      </c>
      <c r="G2">
        <v>0.85799999999999998</v>
      </c>
      <c r="H2">
        <v>0.598799999999997</v>
      </c>
      <c r="I2">
        <v>0.415833333333335</v>
      </c>
      <c r="J2">
        <v>0.115</v>
      </c>
      <c r="K2">
        <v>221.58102576170501</v>
      </c>
    </row>
    <row r="3" spans="1:11" x14ac:dyDescent="0.35">
      <c r="A3">
        <v>20</v>
      </c>
      <c r="B3">
        <v>0.95899999999999996</v>
      </c>
      <c r="C3">
        <v>0.57608333333333295</v>
      </c>
      <c r="D3">
        <v>0.62703846153846499</v>
      </c>
      <c r="E3">
        <v>1.2999999999999999E-2</v>
      </c>
      <c r="F3">
        <v>201.65752764868</v>
      </c>
      <c r="G3">
        <v>0.77600000000000002</v>
      </c>
      <c r="H3">
        <v>0.598799999999997</v>
      </c>
      <c r="I3">
        <v>0.415833333333335</v>
      </c>
      <c r="J3">
        <v>0.19700000000000001</v>
      </c>
      <c r="K3">
        <v>236.54665846594</v>
      </c>
    </row>
    <row r="4" spans="1:11" x14ac:dyDescent="0.35">
      <c r="A4">
        <v>30</v>
      </c>
      <c r="B4">
        <v>0.93100000000000005</v>
      </c>
      <c r="C4">
        <v>0.57608333333333295</v>
      </c>
      <c r="D4">
        <v>0.62534615384615699</v>
      </c>
      <c r="E4">
        <v>4.1000000000000002E-2</v>
      </c>
      <c r="F4">
        <v>206.965142366191</v>
      </c>
      <c r="G4">
        <v>0.68799999999999994</v>
      </c>
      <c r="H4">
        <v>0.598799999999997</v>
      </c>
      <c r="I4">
        <v>0.415833333333335</v>
      </c>
      <c r="J4">
        <v>0.29199999999999998</v>
      </c>
      <c r="K4">
        <v>252.6599218483</v>
      </c>
    </row>
    <row r="5" spans="1:11" x14ac:dyDescent="0.35">
      <c r="A5">
        <v>40</v>
      </c>
      <c r="B5">
        <v>0.88800000000000001</v>
      </c>
      <c r="C5">
        <v>0.57608333333333295</v>
      </c>
      <c r="D5">
        <v>0.62042307692307996</v>
      </c>
      <c r="E5">
        <v>8.4000000000000005E-2</v>
      </c>
      <c r="F5">
        <v>215.013350621884</v>
      </c>
      <c r="G5">
        <v>0.57099999999999995</v>
      </c>
      <c r="H5">
        <v>0.598799999999997</v>
      </c>
      <c r="I5">
        <v>0.415833333333335</v>
      </c>
      <c r="J5">
        <v>0.41099999999999998</v>
      </c>
      <c r="K5">
        <v>275.38324053935099</v>
      </c>
    </row>
    <row r="6" spans="1:11" x14ac:dyDescent="0.35">
      <c r="A6">
        <v>50</v>
      </c>
      <c r="B6">
        <v>0.84099999999999997</v>
      </c>
      <c r="C6">
        <v>0.57608333333333295</v>
      </c>
      <c r="D6">
        <v>0.61380769230769505</v>
      </c>
      <c r="E6">
        <v>0.13100000000000001</v>
      </c>
      <c r="F6">
        <v>223.36689574695501</v>
      </c>
      <c r="G6">
        <v>0.45</v>
      </c>
      <c r="H6">
        <v>0.598799999999997</v>
      </c>
      <c r="I6">
        <v>0.415833333333335</v>
      </c>
      <c r="J6">
        <v>0.53900000000000003</v>
      </c>
      <c r="K6">
        <v>298.63138079469599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26A0A3-A12B-44C8-913D-CE266D3E04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Append2</vt:lpstr>
      <vt:lpstr>Sheet1</vt:lpstr>
      <vt:lpstr>allResults_S7_2_random selectio</vt:lpstr>
      <vt:lpstr>allResults_S6_2_random selectio</vt:lpstr>
      <vt:lpstr>allResults_S5_2_random assign</vt:lpstr>
      <vt:lpstr>allResults_S4_2</vt:lpstr>
      <vt:lpstr>allResults_S3_2</vt:lpstr>
      <vt:lpstr>allResults_S2_2</vt:lpstr>
      <vt:lpstr>allResults_S1_2 (2)</vt:lpstr>
      <vt:lpstr>allResults_S1_2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Sharifah Yaqoub Ali Fayi</cp:lastModifiedBy>
  <dcterms:created xsi:type="dcterms:W3CDTF">2025-01-01T01:54:12Z</dcterms:created>
  <dcterms:modified xsi:type="dcterms:W3CDTF">2025-10-14T13:11:47Z</dcterms:modified>
</cp:coreProperties>
</file>